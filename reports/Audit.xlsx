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GO 2023 ELECTIONS\Internal Communication\2025\"/>
    </mc:Choice>
  </mc:AlternateContent>
  <xr:revisionPtr revIDLastSave="0" documentId="13_ncr:1_{956D2F07-2AFF-4B10-A610-DADB735A9571}" xr6:coauthVersionLast="36" xr6:coauthVersionMax="36" xr10:uidLastSave="{00000000-0000-0000-0000-000000000000}"/>
  <bookViews>
    <workbookView xWindow="0" yWindow="0" windowWidth="20490" windowHeight="6950" xr2:uid="{867842B2-BB64-4885-A565-31AB8A0574B3}"/>
  </bookViews>
  <sheets>
    <sheet name="Sheet4" sheetId="4" r:id="rId1"/>
    <sheet name="Sheet1" sheetId="5" r:id="rId2"/>
  </sheets>
  <definedNames>
    <definedName name="_xlnm._FilterDatabase" localSheetId="0" hidden="1">Sheet4!$A$1:$H$287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5" i="4" l="1"/>
  <c r="C11" i="5" l="1"/>
  <c r="D11" i="5"/>
  <c r="F111" i="4" l="1"/>
  <c r="F263" i="4" l="1"/>
  <c r="F205" i="4"/>
  <c r="H200" i="4" l="1"/>
  <c r="H2" i="4" l="1"/>
  <c r="H3" i="4"/>
  <c r="H84" i="4" l="1"/>
  <c r="G71" i="4" l="1"/>
  <c r="F71" i="4"/>
  <c r="G220" i="4" l="1"/>
  <c r="F220" i="4"/>
  <c r="G202" i="4"/>
  <c r="F202" i="4"/>
  <c r="F68" i="4"/>
  <c r="G12" i="4"/>
  <c r="B12" i="4"/>
  <c r="F12" i="4"/>
  <c r="F94" i="4" l="1"/>
  <c r="F100" i="4"/>
  <c r="D40" i="4" l="1"/>
  <c r="B18" i="4"/>
  <c r="C18" i="4"/>
  <c r="D2" i="4"/>
  <c r="D6" i="4" s="1"/>
  <c r="E7" i="4" l="1"/>
  <c r="E49" i="4"/>
  <c r="E54" i="4"/>
  <c r="E3" i="4"/>
  <c r="E4" i="4"/>
  <c r="E5" i="4"/>
  <c r="E9" i="4"/>
  <c r="E10" i="4"/>
  <c r="E11" i="4"/>
  <c r="E22" i="4"/>
  <c r="E24" i="4"/>
  <c r="E27" i="4"/>
  <c r="E28" i="4"/>
  <c r="E30" i="4"/>
  <c r="E32" i="4"/>
  <c r="E34" i="4"/>
  <c r="E36" i="4"/>
  <c r="E37" i="4"/>
  <c r="E38" i="4"/>
  <c r="E39" i="4"/>
  <c r="E43" i="4"/>
  <c r="E50" i="4"/>
  <c r="E52" i="4"/>
  <c r="E53" i="4"/>
  <c r="E55" i="4"/>
  <c r="E2" i="4"/>
  <c r="D8" i="4"/>
  <c r="D13" i="4"/>
  <c r="E13" i="4" s="1"/>
  <c r="D14" i="4"/>
  <c r="E14" i="4" s="1"/>
  <c r="D15" i="4"/>
  <c r="E15" i="4" s="1"/>
  <c r="D16" i="4"/>
  <c r="E16" i="4" s="1"/>
  <c r="D17" i="4"/>
  <c r="E17" i="4" s="1"/>
  <c r="D19" i="4"/>
  <c r="E19" i="4" s="1"/>
  <c r="D20" i="4"/>
  <c r="D21" i="4"/>
  <c r="E21" i="4" s="1"/>
  <c r="D23" i="4"/>
  <c r="E23" i="4" s="1"/>
  <c r="D26" i="4"/>
  <c r="D29" i="4" s="1"/>
  <c r="D31" i="4"/>
  <c r="E31" i="4" s="1"/>
  <c r="D33" i="4"/>
  <c r="D41" i="4"/>
  <c r="E41" i="4" s="1"/>
  <c r="D42" i="4"/>
  <c r="E42" i="4" s="1"/>
  <c r="D44" i="4"/>
  <c r="E44" i="4" s="1"/>
  <c r="D45" i="4"/>
  <c r="E45" i="4" s="1"/>
  <c r="D46" i="4"/>
  <c r="E4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4" i="4"/>
  <c r="E64" i="4" s="1"/>
  <c r="D65" i="4"/>
  <c r="E65" i="4" s="1"/>
  <c r="D66" i="4"/>
  <c r="E66" i="4" s="1"/>
  <c r="D67" i="4"/>
  <c r="E67" i="4" s="1"/>
  <c r="D69" i="4"/>
  <c r="E69" i="4" s="1"/>
  <c r="D70" i="4"/>
  <c r="E70" i="4" s="1"/>
  <c r="D73" i="4"/>
  <c r="E73" i="4" s="1"/>
  <c r="D74" i="4"/>
  <c r="E74" i="4" s="1"/>
  <c r="D75" i="4"/>
  <c r="E75" i="4" s="1"/>
  <c r="D77" i="4"/>
  <c r="E77" i="4" s="1"/>
  <c r="D78" i="4"/>
  <c r="E78" i="4" s="1"/>
  <c r="D79" i="4"/>
  <c r="E79" i="4" s="1"/>
  <c r="D81" i="4"/>
  <c r="E81" i="4" s="1"/>
  <c r="D82" i="4"/>
  <c r="E82" i="4" s="1"/>
  <c r="D83" i="4"/>
  <c r="E83" i="4" s="1"/>
  <c r="D84" i="4"/>
  <c r="E84" i="4" s="1"/>
  <c r="D85" i="4"/>
  <c r="E85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5" i="4"/>
  <c r="E95" i="4" s="1"/>
  <c r="D96" i="4"/>
  <c r="E96" i="4" s="1"/>
  <c r="D97" i="4"/>
  <c r="E97" i="4" s="1"/>
  <c r="D98" i="4"/>
  <c r="E98" i="4" s="1"/>
  <c r="D99" i="4"/>
  <c r="E99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2" i="4"/>
  <c r="E112" i="4" s="1"/>
  <c r="D113" i="4"/>
  <c r="E113" i="4" s="1"/>
  <c r="D114" i="4"/>
  <c r="E114" i="4" s="1"/>
  <c r="D115" i="4"/>
  <c r="E115" i="4" s="1"/>
  <c r="D117" i="4"/>
  <c r="E117" i="4" s="1"/>
  <c r="D118" i="4"/>
  <c r="E118" i="4" s="1"/>
  <c r="D120" i="4"/>
  <c r="E120" i="4" s="1"/>
  <c r="D121" i="4"/>
  <c r="E121" i="4" s="1"/>
  <c r="D122" i="4"/>
  <c r="E122" i="4" s="1"/>
  <c r="D123" i="4"/>
  <c r="E123" i="4" s="1"/>
  <c r="D124" i="4"/>
  <c r="E124" i="4" s="1"/>
  <c r="D126" i="4"/>
  <c r="E126" i="4" s="1"/>
  <c r="D127" i="4"/>
  <c r="E127" i="4" s="1"/>
  <c r="D128" i="4"/>
  <c r="E128" i="4" s="1"/>
  <c r="D129" i="4"/>
  <c r="E129" i="4" s="1"/>
  <c r="D131" i="4"/>
  <c r="E131" i="4" s="1"/>
  <c r="D132" i="4"/>
  <c r="E132" i="4" s="1"/>
  <c r="D133" i="4"/>
  <c r="E133" i="4" s="1"/>
  <c r="D134" i="4"/>
  <c r="E134" i="4" s="1"/>
  <c r="D136" i="4"/>
  <c r="E136" i="4" s="1"/>
  <c r="D137" i="4"/>
  <c r="E137" i="4" s="1"/>
  <c r="D138" i="4"/>
  <c r="E138" i="4" s="1"/>
  <c r="D139" i="4"/>
  <c r="E139" i="4" s="1"/>
  <c r="D141" i="4"/>
  <c r="E141" i="4" s="1"/>
  <c r="D142" i="4"/>
  <c r="E142" i="4" s="1"/>
  <c r="D143" i="4"/>
  <c r="E143" i="4" s="1"/>
  <c r="D144" i="4"/>
  <c r="E144" i="4" s="1"/>
  <c r="D146" i="4"/>
  <c r="E146" i="4" s="1"/>
  <c r="D147" i="4"/>
  <c r="E147" i="4" s="1"/>
  <c r="D148" i="4"/>
  <c r="E148" i="4" s="1"/>
  <c r="D150" i="4"/>
  <c r="E150" i="4" s="1"/>
  <c r="D151" i="4"/>
  <c r="E151" i="4" s="1"/>
  <c r="D152" i="4"/>
  <c r="E152" i="4" s="1"/>
  <c r="D154" i="4"/>
  <c r="E154" i="4" s="1"/>
  <c r="D155" i="4"/>
  <c r="E155" i="4" s="1"/>
  <c r="D156" i="4"/>
  <c r="E156" i="4" s="1"/>
  <c r="D157" i="4"/>
  <c r="E157" i="4" s="1"/>
  <c r="D158" i="4"/>
  <c r="E158" i="4" s="1"/>
  <c r="D161" i="4"/>
  <c r="E161" i="4" s="1"/>
  <c r="D162" i="4"/>
  <c r="E162" i="4" s="1"/>
  <c r="D163" i="4"/>
  <c r="E163" i="4" s="1"/>
  <c r="D164" i="4"/>
  <c r="E164" i="4" s="1"/>
  <c r="D165" i="4"/>
  <c r="E165" i="4" s="1"/>
  <c r="D167" i="4"/>
  <c r="E167" i="4" s="1"/>
  <c r="D168" i="4"/>
  <c r="E168" i="4" s="1"/>
  <c r="D169" i="4"/>
  <c r="E169" i="4" s="1"/>
  <c r="D170" i="4"/>
  <c r="E170" i="4" s="1"/>
  <c r="D172" i="4"/>
  <c r="E172" i="4" s="1"/>
  <c r="D173" i="4"/>
  <c r="E173" i="4" s="1"/>
  <c r="D174" i="4"/>
  <c r="E174" i="4" s="1"/>
  <c r="D175" i="4"/>
  <c r="E175" i="4" s="1"/>
  <c r="D177" i="4"/>
  <c r="E177" i="4" s="1"/>
  <c r="D178" i="4"/>
  <c r="E178" i="4" s="1"/>
  <c r="D179" i="4"/>
  <c r="E179" i="4" s="1"/>
  <c r="D180" i="4"/>
  <c r="E180" i="4" s="1"/>
  <c r="D181" i="4"/>
  <c r="E181" i="4" s="1"/>
  <c r="D183" i="4"/>
  <c r="E183" i="4" s="1"/>
  <c r="D184" i="4"/>
  <c r="E184" i="4" s="1"/>
  <c r="D185" i="4"/>
  <c r="E185" i="4" s="1"/>
  <c r="D186" i="4"/>
  <c r="E186" i="4" s="1"/>
  <c r="D189" i="4"/>
  <c r="E189" i="4" s="1"/>
  <c r="D190" i="4"/>
  <c r="E190" i="4" s="1"/>
  <c r="D191" i="4"/>
  <c r="E191" i="4" s="1"/>
  <c r="D192" i="4"/>
  <c r="E192" i="4" s="1"/>
  <c r="D193" i="4"/>
  <c r="E193" i="4" s="1"/>
  <c r="D194" i="4"/>
  <c r="E194" i="4" s="1"/>
  <c r="D196" i="4"/>
  <c r="E196" i="4" s="1"/>
  <c r="D197" i="4"/>
  <c r="E197" i="4" s="1"/>
  <c r="D198" i="4"/>
  <c r="E198" i="4" s="1"/>
  <c r="D199" i="4"/>
  <c r="E199" i="4" s="1"/>
  <c r="D200" i="4"/>
  <c r="E200" i="4" s="1"/>
  <c r="D201" i="4"/>
  <c r="E201" i="4" s="1"/>
  <c r="D203" i="4"/>
  <c r="E203" i="4" s="1"/>
  <c r="D204" i="4"/>
  <c r="E204" i="4" s="1"/>
  <c r="D206" i="4"/>
  <c r="E206" i="4" s="1"/>
  <c r="D207" i="4"/>
  <c r="E207" i="4" s="1"/>
  <c r="D210" i="4"/>
  <c r="E210" i="4" s="1"/>
  <c r="D211" i="4"/>
  <c r="E211" i="4" s="1"/>
  <c r="D212" i="4"/>
  <c r="E212" i="4" s="1"/>
  <c r="D213" i="4"/>
  <c r="E213" i="4" s="1"/>
  <c r="D215" i="4"/>
  <c r="E215" i="4" s="1"/>
  <c r="D216" i="4"/>
  <c r="E216" i="4" s="1"/>
  <c r="D217" i="4"/>
  <c r="E217" i="4" s="1"/>
  <c r="D218" i="4"/>
  <c r="E218" i="4" s="1"/>
  <c r="D219" i="4"/>
  <c r="E219" i="4" s="1"/>
  <c r="D221" i="4"/>
  <c r="E221" i="4" s="1"/>
  <c r="D222" i="4"/>
  <c r="E222" i="4" s="1"/>
  <c r="D223" i="4"/>
  <c r="E223" i="4" s="1"/>
  <c r="D224" i="4"/>
  <c r="E224" i="4" s="1"/>
  <c r="D226" i="4"/>
  <c r="E226" i="4" s="1"/>
  <c r="D227" i="4"/>
  <c r="E227" i="4" s="1"/>
  <c r="D228" i="4"/>
  <c r="E228" i="4" s="1"/>
  <c r="D231" i="4"/>
  <c r="E231" i="4" s="1"/>
  <c r="D232" i="4"/>
  <c r="E232" i="4" s="1"/>
  <c r="D233" i="4"/>
  <c r="E233" i="4" s="1"/>
  <c r="D235" i="4"/>
  <c r="E235" i="4" s="1"/>
  <c r="D236" i="4"/>
  <c r="E236" i="4" s="1"/>
  <c r="D237" i="4"/>
  <c r="E237" i="4" s="1"/>
  <c r="D238" i="4"/>
  <c r="E238" i="4" s="1"/>
  <c r="D240" i="4"/>
  <c r="E240" i="4" s="1"/>
  <c r="D241" i="4"/>
  <c r="E241" i="4" s="1"/>
  <c r="D242" i="4"/>
  <c r="E242" i="4" s="1"/>
  <c r="D244" i="4"/>
  <c r="E244" i="4" s="1"/>
  <c r="D245" i="4"/>
  <c r="E245" i="4" s="1"/>
  <c r="D246" i="4"/>
  <c r="E246" i="4" s="1"/>
  <c r="D248" i="4"/>
  <c r="E248" i="4" s="1"/>
  <c r="D249" i="4"/>
  <c r="E249" i="4" s="1"/>
  <c r="D250" i="4"/>
  <c r="E250" i="4" s="1"/>
  <c r="D253" i="4"/>
  <c r="E253" i="4" s="1"/>
  <c r="D254" i="4"/>
  <c r="E254" i="4" s="1"/>
  <c r="D255" i="4"/>
  <c r="E255" i="4" s="1"/>
  <c r="D256" i="4"/>
  <c r="E256" i="4" s="1"/>
  <c r="D257" i="4"/>
  <c r="E257" i="4" s="1"/>
  <c r="D258" i="4"/>
  <c r="E258" i="4" s="1"/>
  <c r="D259" i="4"/>
  <c r="E259" i="4" s="1"/>
  <c r="D260" i="4"/>
  <c r="E260" i="4" s="1"/>
  <c r="D261" i="4"/>
  <c r="E261" i="4" s="1"/>
  <c r="D262" i="4"/>
  <c r="E262" i="4" s="1"/>
  <c r="D264" i="4"/>
  <c r="E264" i="4" s="1"/>
  <c r="D265" i="4"/>
  <c r="E265" i="4" s="1"/>
  <c r="D266" i="4"/>
  <c r="E266" i="4" s="1"/>
  <c r="D267" i="4"/>
  <c r="E267" i="4" s="1"/>
  <c r="D269" i="4"/>
  <c r="E269" i="4" s="1"/>
  <c r="D270" i="4"/>
  <c r="E270" i="4" s="1"/>
  <c r="D271" i="4"/>
  <c r="E271" i="4" s="1"/>
  <c r="D273" i="4"/>
  <c r="E273" i="4" s="1"/>
  <c r="D274" i="4"/>
  <c r="E274" i="4" s="1"/>
  <c r="D275" i="4"/>
  <c r="E275" i="4" s="1"/>
  <c r="D276" i="4"/>
  <c r="E276" i="4" s="1"/>
  <c r="D277" i="4"/>
  <c r="E277" i="4" s="1"/>
  <c r="D279" i="4"/>
  <c r="E279" i="4" s="1"/>
  <c r="D280" i="4"/>
  <c r="E280" i="4" s="1"/>
  <c r="D281" i="4"/>
  <c r="E281" i="4" s="1"/>
  <c r="D282" i="4"/>
  <c r="E282" i="4" s="1"/>
  <c r="D283" i="4"/>
  <c r="E283" i="4" s="1"/>
  <c r="D284" i="4"/>
  <c r="E284" i="4" s="1"/>
  <c r="D12" i="4" l="1"/>
  <c r="E26" i="4"/>
  <c r="E29" i="4" s="1"/>
  <c r="D35" i="4"/>
  <c r="E6" i="4"/>
  <c r="D25" i="4"/>
  <c r="E40" i="4"/>
  <c r="E8" i="4"/>
  <c r="E12" i="4" s="1"/>
  <c r="E18" i="4"/>
  <c r="D18" i="4"/>
  <c r="E33" i="4"/>
  <c r="E35" i="4" s="1"/>
  <c r="D47" i="4"/>
  <c r="E20" i="4"/>
  <c r="E25" i="4" s="1"/>
  <c r="E47" i="4"/>
  <c r="B11" i="5"/>
  <c r="D48" i="4" l="1"/>
  <c r="E48" i="4"/>
  <c r="E2" i="5" s="1"/>
  <c r="F80" i="4"/>
  <c r="F86" i="4" s="1"/>
  <c r="H99" i="4"/>
  <c r="H81" i="4" l="1"/>
  <c r="C287" i="4" l="1"/>
  <c r="F285" i="4"/>
  <c r="B285" i="4"/>
  <c r="H284" i="4"/>
  <c r="H283" i="4"/>
  <c r="H282" i="4"/>
  <c r="H281" i="4"/>
  <c r="H280" i="4"/>
  <c r="G285" i="4"/>
  <c r="H279" i="4"/>
  <c r="F278" i="4"/>
  <c r="B278" i="4"/>
  <c r="H277" i="4"/>
  <c r="H276" i="4"/>
  <c r="H275" i="4"/>
  <c r="H274" i="4"/>
  <c r="H273" i="4"/>
  <c r="G278" i="4"/>
  <c r="F272" i="4"/>
  <c r="B272" i="4"/>
  <c r="H271" i="4"/>
  <c r="H270" i="4"/>
  <c r="H269" i="4"/>
  <c r="G272" i="4"/>
  <c r="F268" i="4"/>
  <c r="B268" i="4"/>
  <c r="H267" i="4"/>
  <c r="H266" i="4"/>
  <c r="H265" i="4"/>
  <c r="G268" i="4"/>
  <c r="H264" i="4"/>
  <c r="B263" i="4"/>
  <c r="H262" i="4"/>
  <c r="H261" i="4"/>
  <c r="H260" i="4"/>
  <c r="H259" i="4"/>
  <c r="H258" i="4"/>
  <c r="H257" i="4"/>
  <c r="H256" i="4"/>
  <c r="H255" i="4"/>
  <c r="H254" i="4"/>
  <c r="G263" i="4"/>
  <c r="H253" i="4"/>
  <c r="F251" i="4"/>
  <c r="B251" i="4"/>
  <c r="H250" i="4"/>
  <c r="H249" i="4"/>
  <c r="H248" i="4"/>
  <c r="G251" i="4"/>
  <c r="F247" i="4"/>
  <c r="B247" i="4"/>
  <c r="H246" i="4"/>
  <c r="G247" i="4"/>
  <c r="F243" i="4"/>
  <c r="B243" i="4"/>
  <c r="H242" i="4"/>
  <c r="H241" i="4"/>
  <c r="H240" i="4"/>
  <c r="G243" i="4"/>
  <c r="F239" i="4"/>
  <c r="B239" i="4"/>
  <c r="H238" i="4"/>
  <c r="H237" i="4"/>
  <c r="H236" i="4"/>
  <c r="H235" i="4"/>
  <c r="G239" i="4"/>
  <c r="F234" i="4"/>
  <c r="B234" i="4"/>
  <c r="H233" i="4"/>
  <c r="H232" i="4"/>
  <c r="H231" i="4"/>
  <c r="G234" i="4"/>
  <c r="F229" i="4"/>
  <c r="B229" i="4"/>
  <c r="H228" i="4"/>
  <c r="H227" i="4"/>
  <c r="H226" i="4"/>
  <c r="F225" i="4"/>
  <c r="B225" i="4"/>
  <c r="H224" i="4"/>
  <c r="H223" i="4"/>
  <c r="H222" i="4"/>
  <c r="H221" i="4"/>
  <c r="G225" i="4"/>
  <c r="G229" i="4" s="1"/>
  <c r="B220" i="4"/>
  <c r="H219" i="4"/>
  <c r="H218" i="4"/>
  <c r="H217" i="4"/>
  <c r="H216" i="4"/>
  <c r="H215" i="4"/>
  <c r="F214" i="4"/>
  <c r="B214" i="4"/>
  <c r="H213" i="4"/>
  <c r="H212" i="4"/>
  <c r="H211" i="4"/>
  <c r="G214" i="4"/>
  <c r="H210" i="4"/>
  <c r="D278" i="4" l="1"/>
  <c r="E278" i="4" s="1"/>
  <c r="D263" i="4"/>
  <c r="E263" i="4" s="1"/>
  <c r="D229" i="4"/>
  <c r="E229" i="4" s="1"/>
  <c r="D285" i="4"/>
  <c r="E285" i="4" s="1"/>
  <c r="D247" i="4"/>
  <c r="E247" i="4" s="1"/>
  <c r="H239" i="4"/>
  <c r="D239" i="4"/>
  <c r="E239" i="4" s="1"/>
  <c r="H272" i="4"/>
  <c r="D272" i="4"/>
  <c r="E272" i="4" s="1"/>
  <c r="D225" i="4"/>
  <c r="E225" i="4" s="1"/>
  <c r="H234" i="4"/>
  <c r="D234" i="4"/>
  <c r="E234" i="4" s="1"/>
  <c r="D214" i="4"/>
  <c r="E214" i="4" s="1"/>
  <c r="D220" i="4"/>
  <c r="E220" i="4" s="1"/>
  <c r="H243" i="4"/>
  <c r="D243" i="4"/>
  <c r="E243" i="4" s="1"/>
  <c r="H251" i="4"/>
  <c r="D251" i="4"/>
  <c r="E251" i="4" s="1"/>
  <c r="D268" i="4"/>
  <c r="E268" i="4" s="1"/>
  <c r="H225" i="4"/>
  <c r="H214" i="4"/>
  <c r="H229" i="4"/>
  <c r="B230" i="4"/>
  <c r="H263" i="4"/>
  <c r="H285" i="4"/>
  <c r="H220" i="4"/>
  <c r="G252" i="4"/>
  <c r="G9" i="5" s="1"/>
  <c r="B252" i="4"/>
  <c r="H247" i="4"/>
  <c r="H278" i="4"/>
  <c r="B286" i="4"/>
  <c r="H268" i="4"/>
  <c r="G230" i="4"/>
  <c r="G8" i="5" s="1"/>
  <c r="G286" i="4"/>
  <c r="G10" i="5" s="1"/>
  <c r="F230" i="4"/>
  <c r="F8" i="5" s="1"/>
  <c r="F252" i="4"/>
  <c r="F9" i="5" s="1"/>
  <c r="F286" i="4"/>
  <c r="F10" i="5" s="1"/>
  <c r="D230" i="4" l="1"/>
  <c r="E230" i="4" s="1"/>
  <c r="E8" i="5" s="1"/>
  <c r="D286" i="4"/>
  <c r="E286" i="4" s="1"/>
  <c r="E10" i="5" s="1"/>
  <c r="H252" i="4"/>
  <c r="I9" i="5"/>
  <c r="D252" i="4"/>
  <c r="H286" i="4"/>
  <c r="H230" i="4"/>
  <c r="E252" i="4" l="1"/>
  <c r="E9" i="5" s="1"/>
  <c r="H9" i="5"/>
  <c r="H10" i="5"/>
  <c r="I10" i="5"/>
  <c r="H8" i="5"/>
  <c r="I8" i="5"/>
  <c r="H196" i="4"/>
  <c r="H207" i="4"/>
  <c r="H206" i="4"/>
  <c r="B205" i="4"/>
  <c r="B208" i="4" s="1"/>
  <c r="H204" i="4"/>
  <c r="G205" i="4"/>
  <c r="H203" i="4"/>
  <c r="H201" i="4"/>
  <c r="H199" i="4"/>
  <c r="H198" i="4"/>
  <c r="H197" i="4"/>
  <c r="F195" i="4"/>
  <c r="B195" i="4"/>
  <c r="B202" i="4" s="1"/>
  <c r="H194" i="4"/>
  <c r="H193" i="4"/>
  <c r="H192" i="4"/>
  <c r="H191" i="4"/>
  <c r="H190" i="4"/>
  <c r="H189" i="4"/>
  <c r="F187" i="4"/>
  <c r="B187" i="4"/>
  <c r="H186" i="4"/>
  <c r="H185" i="4"/>
  <c r="H184" i="4"/>
  <c r="H183" i="4"/>
  <c r="F182" i="4"/>
  <c r="B182" i="4"/>
  <c r="H181" i="4"/>
  <c r="H180" i="4"/>
  <c r="H179" i="4"/>
  <c r="H178" i="4"/>
  <c r="H177" i="4"/>
  <c r="G182" i="4"/>
  <c r="B176" i="4"/>
  <c r="H175" i="4"/>
  <c r="H174" i="4"/>
  <c r="H173" i="4"/>
  <c r="H172" i="4"/>
  <c r="F171" i="4"/>
  <c r="F176" i="4" s="1"/>
  <c r="B171" i="4"/>
  <c r="H170" i="4"/>
  <c r="H169" i="4"/>
  <c r="H168" i="4"/>
  <c r="H167" i="4"/>
  <c r="F166" i="4"/>
  <c r="B166" i="4"/>
  <c r="H165" i="4"/>
  <c r="H164" i="4"/>
  <c r="H163" i="4"/>
  <c r="H162" i="4"/>
  <c r="H161" i="4"/>
  <c r="F159" i="4"/>
  <c r="B159" i="4"/>
  <c r="H158" i="4"/>
  <c r="H157" i="4"/>
  <c r="H156" i="4"/>
  <c r="H155" i="4"/>
  <c r="H154" i="4"/>
  <c r="F153" i="4"/>
  <c r="B153" i="4"/>
  <c r="H152" i="4"/>
  <c r="H151" i="4"/>
  <c r="H150" i="4"/>
  <c r="F149" i="4"/>
  <c r="B149" i="4"/>
  <c r="H148" i="4"/>
  <c r="H147" i="4"/>
  <c r="H146" i="4"/>
  <c r="G149" i="4"/>
  <c r="F145" i="4"/>
  <c r="B145" i="4"/>
  <c r="H144" i="4"/>
  <c r="H143" i="4"/>
  <c r="H142" i="4"/>
  <c r="H141" i="4"/>
  <c r="F140" i="4"/>
  <c r="B140" i="4"/>
  <c r="H139" i="4"/>
  <c r="H138" i="4"/>
  <c r="H137" i="4"/>
  <c r="H136" i="4"/>
  <c r="G140" i="4"/>
  <c r="F135" i="4"/>
  <c r="B135" i="4"/>
  <c r="H134" i="4"/>
  <c r="H133" i="4"/>
  <c r="H132" i="4"/>
  <c r="H131" i="4"/>
  <c r="F130" i="4"/>
  <c r="B130" i="4"/>
  <c r="H129" i="4"/>
  <c r="H128" i="4"/>
  <c r="H127" i="4"/>
  <c r="H126" i="4"/>
  <c r="G130" i="4"/>
  <c r="F125" i="4"/>
  <c r="B125" i="4"/>
  <c r="H124" i="4"/>
  <c r="H123" i="4"/>
  <c r="H122" i="4"/>
  <c r="H121" i="4"/>
  <c r="H120" i="4"/>
  <c r="G125" i="4"/>
  <c r="F119" i="4"/>
  <c r="B119" i="4"/>
  <c r="H118" i="4"/>
  <c r="G119" i="4"/>
  <c r="H117" i="4"/>
  <c r="F116" i="4"/>
  <c r="B116" i="4"/>
  <c r="H115" i="4"/>
  <c r="H114" i="4"/>
  <c r="H113" i="4"/>
  <c r="H112" i="4"/>
  <c r="B111" i="4"/>
  <c r="H110" i="4"/>
  <c r="H109" i="4"/>
  <c r="H108" i="4"/>
  <c r="H107" i="4"/>
  <c r="H106" i="4"/>
  <c r="H105" i="4"/>
  <c r="H104" i="4"/>
  <c r="H103" i="4"/>
  <c r="H102" i="4"/>
  <c r="H98" i="4"/>
  <c r="H97" i="4"/>
  <c r="H96" i="4"/>
  <c r="H95" i="4"/>
  <c r="H93" i="4"/>
  <c r="H92" i="4"/>
  <c r="H91" i="4"/>
  <c r="H90" i="4"/>
  <c r="H89" i="4"/>
  <c r="H88" i="4"/>
  <c r="H87" i="4"/>
  <c r="H85" i="4"/>
  <c r="H83" i="4"/>
  <c r="B80" i="4"/>
  <c r="B86" i="4" s="1"/>
  <c r="B94" i="4" s="1"/>
  <c r="B100" i="4" s="1"/>
  <c r="H79" i="4"/>
  <c r="H78" i="4"/>
  <c r="H77" i="4"/>
  <c r="G80" i="4"/>
  <c r="D80" i="4" s="1"/>
  <c r="E80" i="4" s="1"/>
  <c r="H75" i="4"/>
  <c r="H74" i="4"/>
  <c r="H73" i="4"/>
  <c r="B71" i="4"/>
  <c r="H69" i="4"/>
  <c r="B68" i="4"/>
  <c r="H67" i="4"/>
  <c r="H65" i="4"/>
  <c r="G68" i="4"/>
  <c r="H64" i="4"/>
  <c r="F63" i="4"/>
  <c r="B63" i="4"/>
  <c r="H62" i="4"/>
  <c r="H61" i="4"/>
  <c r="H60" i="4"/>
  <c r="H58" i="4"/>
  <c r="H57" i="4"/>
  <c r="F56" i="4"/>
  <c r="B56" i="4"/>
  <c r="H55" i="4"/>
  <c r="H54" i="4"/>
  <c r="H53" i="4"/>
  <c r="H52" i="4"/>
  <c r="F51" i="4"/>
  <c r="B51" i="4"/>
  <c r="H50" i="4"/>
  <c r="H49" i="4"/>
  <c r="F47" i="4"/>
  <c r="B47" i="4"/>
  <c r="H46" i="4"/>
  <c r="H45" i="4"/>
  <c r="H44" i="4"/>
  <c r="H43" i="4"/>
  <c r="H42" i="4"/>
  <c r="H41" i="4"/>
  <c r="F40" i="4"/>
  <c r="B40" i="4"/>
  <c r="H39" i="4"/>
  <c r="H38" i="4"/>
  <c r="H37" i="4"/>
  <c r="H36" i="4"/>
  <c r="F35" i="4"/>
  <c r="B35" i="4"/>
  <c r="H34" i="4"/>
  <c r="H33" i="4"/>
  <c r="H32" i="4"/>
  <c r="H31" i="4"/>
  <c r="H30" i="4"/>
  <c r="F29" i="4"/>
  <c r="B29" i="4"/>
  <c r="H28" i="4"/>
  <c r="H27" i="4"/>
  <c r="H26" i="4"/>
  <c r="F25" i="4"/>
  <c r="B25" i="4"/>
  <c r="H24" i="4"/>
  <c r="H23" i="4"/>
  <c r="H22" i="4"/>
  <c r="H21" i="4"/>
  <c r="H20" i="4"/>
  <c r="H19" i="4"/>
  <c r="F18" i="4"/>
  <c r="H17" i="4"/>
  <c r="H16" i="4"/>
  <c r="H15" i="4"/>
  <c r="H14" i="4"/>
  <c r="H13" i="4"/>
  <c r="H11" i="4"/>
  <c r="H10" i="4"/>
  <c r="H9" i="4"/>
  <c r="H8" i="4"/>
  <c r="H7" i="4"/>
  <c r="F6" i="4"/>
  <c r="B6" i="4"/>
  <c r="H5" i="4"/>
  <c r="H4" i="4"/>
  <c r="F160" i="4" l="1"/>
  <c r="F5" i="5" s="1"/>
  <c r="I5" i="5" s="1"/>
  <c r="B72" i="4"/>
  <c r="H119" i="4"/>
  <c r="D205" i="4"/>
  <c r="E205" i="4" s="1"/>
  <c r="F48" i="4"/>
  <c r="F2" i="5" s="1"/>
  <c r="D182" i="4"/>
  <c r="E182" i="4" s="1"/>
  <c r="F208" i="4"/>
  <c r="F209" i="4" s="1"/>
  <c r="F7" i="5" s="1"/>
  <c r="D125" i="4"/>
  <c r="E125" i="4" s="1"/>
  <c r="D149" i="4"/>
  <c r="E149" i="4" s="1"/>
  <c r="D140" i="4"/>
  <c r="E140" i="4" s="1"/>
  <c r="D119" i="4"/>
  <c r="E119" i="4" s="1"/>
  <c r="D68" i="4"/>
  <c r="E68" i="4" s="1"/>
  <c r="D130" i="4"/>
  <c r="E130" i="4" s="1"/>
  <c r="H71" i="4"/>
  <c r="H56" i="4"/>
  <c r="H145" i="4"/>
  <c r="H18" i="4"/>
  <c r="H51" i="4"/>
  <c r="B209" i="4"/>
  <c r="H80" i="4"/>
  <c r="H25" i="4"/>
  <c r="H35" i="4"/>
  <c r="H94" i="4"/>
  <c r="H202" i="4"/>
  <c r="H47" i="4"/>
  <c r="H205" i="4"/>
  <c r="B48" i="4"/>
  <c r="H116" i="4"/>
  <c r="H182" i="4"/>
  <c r="H40" i="4"/>
  <c r="G51" i="4"/>
  <c r="D51" i="4" s="1"/>
  <c r="E51" i="4" s="1"/>
  <c r="H63" i="4"/>
  <c r="G116" i="4"/>
  <c r="D116" i="4" s="1"/>
  <c r="E116" i="4" s="1"/>
  <c r="H171" i="4"/>
  <c r="D71" i="4"/>
  <c r="E71" i="4" s="1"/>
  <c r="B188" i="4"/>
  <c r="H187" i="4"/>
  <c r="G47" i="4"/>
  <c r="H68" i="4"/>
  <c r="H125" i="4"/>
  <c r="H135" i="4"/>
  <c r="H149" i="4"/>
  <c r="H159" i="4"/>
  <c r="H176" i="4"/>
  <c r="H86" i="4"/>
  <c r="B160" i="4"/>
  <c r="H153" i="4"/>
  <c r="G25" i="4"/>
  <c r="H29" i="4"/>
  <c r="G40" i="4"/>
  <c r="B76" i="4"/>
  <c r="B101" i="4" s="1"/>
  <c r="G63" i="4"/>
  <c r="D63" i="4" s="1"/>
  <c r="E63" i="4" s="1"/>
  <c r="G86" i="4"/>
  <c r="D86" i="4" s="1"/>
  <c r="E86" i="4" s="1"/>
  <c r="H100" i="4"/>
  <c r="H130" i="4"/>
  <c r="H140" i="4"/>
  <c r="G153" i="4"/>
  <c r="D153" i="4" s="1"/>
  <c r="E153" i="4" s="1"/>
  <c r="G159" i="4"/>
  <c r="D159" i="4" s="1"/>
  <c r="E159" i="4" s="1"/>
  <c r="H166" i="4"/>
  <c r="G195" i="4"/>
  <c r="H195" i="4"/>
  <c r="G6" i="4"/>
  <c r="H6" i="4"/>
  <c r="H12" i="4"/>
  <c r="G18" i="4"/>
  <c r="G29" i="4"/>
  <c r="G35" i="4"/>
  <c r="F72" i="4"/>
  <c r="F3" i="5" s="1"/>
  <c r="G56" i="4"/>
  <c r="G111" i="4"/>
  <c r="D111" i="4" s="1"/>
  <c r="E111" i="4" s="1"/>
  <c r="D135" i="4"/>
  <c r="E135" i="4" s="1"/>
  <c r="G145" i="4"/>
  <c r="D145" i="4" s="1"/>
  <c r="E145" i="4" s="1"/>
  <c r="G166" i="4"/>
  <c r="D166" i="4" s="1"/>
  <c r="E166" i="4" s="1"/>
  <c r="G171" i="4"/>
  <c r="D171" i="4" s="1"/>
  <c r="E171" i="4" s="1"/>
  <c r="G187" i="4"/>
  <c r="D187" i="4" s="1"/>
  <c r="E187" i="4" s="1"/>
  <c r="G208" i="4"/>
  <c r="H111" i="4"/>
  <c r="F188" i="4"/>
  <c r="F6" i="5" s="1"/>
  <c r="H208" i="4" l="1"/>
  <c r="D208" i="4"/>
  <c r="E208" i="4" s="1"/>
  <c r="G72" i="4"/>
  <c r="G3" i="5" s="1"/>
  <c r="I3" i="5"/>
  <c r="F76" i="4"/>
  <c r="F101" i="4" s="1"/>
  <c r="F4" i="5" s="1"/>
  <c r="G76" i="4"/>
  <c r="D195" i="4"/>
  <c r="E195" i="4" s="1"/>
  <c r="D202" i="4"/>
  <c r="E202" i="4" s="1"/>
  <c r="G94" i="4"/>
  <c r="G176" i="4"/>
  <c r="D176" i="4" s="1"/>
  <c r="E176" i="4" s="1"/>
  <c r="D56" i="4"/>
  <c r="E56" i="4" s="1"/>
  <c r="E72" i="4" s="1"/>
  <c r="E3" i="5" s="1"/>
  <c r="I2" i="5"/>
  <c r="H209" i="4"/>
  <c r="H160" i="4"/>
  <c r="H188" i="4"/>
  <c r="H72" i="4"/>
  <c r="B287" i="4"/>
  <c r="H48" i="4"/>
  <c r="G160" i="4"/>
  <c r="G5" i="5" s="1"/>
  <c r="G48" i="4"/>
  <c r="G2" i="5" s="1"/>
  <c r="H2" i="5" s="1"/>
  <c r="F11" i="5" l="1"/>
  <c r="H3" i="5"/>
  <c r="G209" i="4"/>
  <c r="G7" i="5" s="1"/>
  <c r="H76" i="4"/>
  <c r="D76" i="4"/>
  <c r="E76" i="4" s="1"/>
  <c r="G188" i="4"/>
  <c r="G6" i="5" s="1"/>
  <c r="D94" i="4"/>
  <c r="E94" i="4" s="1"/>
  <c r="G100" i="4"/>
  <c r="G101" i="4" s="1"/>
  <c r="D72" i="4"/>
  <c r="D160" i="4"/>
  <c r="E160" i="4" s="1"/>
  <c r="E5" i="5" s="1"/>
  <c r="H5" i="5"/>
  <c r="I7" i="5"/>
  <c r="I6" i="5"/>
  <c r="G4" i="5" l="1"/>
  <c r="H4" i="5" s="1"/>
  <c r="H7" i="5"/>
  <c r="D209" i="4"/>
  <c r="E209" i="4" s="1"/>
  <c r="E7" i="5" s="1"/>
  <c r="D188" i="4"/>
  <c r="E188" i="4" s="1"/>
  <c r="E6" i="5" s="1"/>
  <c r="F287" i="4"/>
  <c r="H287" i="4" s="1"/>
  <c r="H101" i="4"/>
  <c r="D100" i="4"/>
  <c r="E100" i="4" s="1"/>
  <c r="G287" i="4"/>
  <c r="G11" i="5" l="1"/>
  <c r="H6" i="5"/>
  <c r="D287" i="4"/>
  <c r="E287" i="4" s="1"/>
  <c r="I4" i="5"/>
  <c r="I11" i="5"/>
  <c r="D101" i="4"/>
  <c r="E101" i="4" s="1"/>
  <c r="E4" i="5" s="1"/>
  <c r="H11" i="5" l="1"/>
</calcChain>
</file>

<file path=xl/sharedStrings.xml><?xml version="1.0" encoding="utf-8"?>
<sst xmlns="http://schemas.openxmlformats.org/spreadsheetml/2006/main" count="342" uniqueCount="272">
  <si>
    <t>MUNICIPALITY/ DISTRICTS</t>
  </si>
  <si>
    <t>TOTAL</t>
  </si>
  <si>
    <t>Midvaal</t>
  </si>
  <si>
    <t>Emfuleni</t>
  </si>
  <si>
    <t>Lesedi</t>
  </si>
  <si>
    <t>Rand West</t>
  </si>
  <si>
    <t>Merafong City</t>
  </si>
  <si>
    <t>Mogale City</t>
  </si>
  <si>
    <t>EKU – Central</t>
  </si>
  <si>
    <t>EKU – East</t>
  </si>
  <si>
    <t>EKU - Far East</t>
  </si>
  <si>
    <t>EKU – North</t>
  </si>
  <si>
    <t>EKU – South</t>
  </si>
  <si>
    <t>JHB – A</t>
  </si>
  <si>
    <t>JHB – B</t>
  </si>
  <si>
    <t>JHB – C</t>
  </si>
  <si>
    <t>JHB – D</t>
  </si>
  <si>
    <t>JHB – E</t>
  </si>
  <si>
    <t>JHB – F</t>
  </si>
  <si>
    <t>JHB – G</t>
  </si>
  <si>
    <t>TSH – 1</t>
  </si>
  <si>
    <t>TSH – 2</t>
  </si>
  <si>
    <t>TSH – 3</t>
  </si>
  <si>
    <t>TSH – 4</t>
  </si>
  <si>
    <t>TSH - 5 / TSH – 6</t>
  </si>
  <si>
    <t>GAUTENG</t>
  </si>
  <si>
    <t>NUMBER OF BRANCHES PASSED AUDIT</t>
  </si>
  <si>
    <t>NUMBER OF BRANCHES FAILED AUDIT</t>
  </si>
  <si>
    <t>Greater Giyani</t>
  </si>
  <si>
    <t>Greater Tzaneen</t>
  </si>
  <si>
    <t>Maruleng</t>
  </si>
  <si>
    <t>Greater Letaba</t>
  </si>
  <si>
    <t xml:space="preserve">Ba-Phalaborwa </t>
  </si>
  <si>
    <t>Thulamela</t>
  </si>
  <si>
    <t>Makhado</t>
  </si>
  <si>
    <t>Collins Chabane</t>
  </si>
  <si>
    <t>Musina</t>
  </si>
  <si>
    <t>Polokwane</t>
  </si>
  <si>
    <t>Lepele Nkumpi</t>
  </si>
  <si>
    <t>Blouberg</t>
  </si>
  <si>
    <t>MoleMole</t>
  </si>
  <si>
    <t>Mogalakwena</t>
  </si>
  <si>
    <t>Thabazimbi</t>
  </si>
  <si>
    <t>Lephalale</t>
  </si>
  <si>
    <t>Bela-Bela</t>
  </si>
  <si>
    <t>Modimolle-Mokgophong</t>
  </si>
  <si>
    <t>Elias Motsoaledi</t>
  </si>
  <si>
    <t>Makhuduthamaga</t>
  </si>
  <si>
    <t>Fetakgomo Tubatse</t>
  </si>
  <si>
    <t>Ephraim Mogale</t>
  </si>
  <si>
    <t>LIMPOPO</t>
  </si>
  <si>
    <t>Moretele</t>
  </si>
  <si>
    <t>Madibeng</t>
  </si>
  <si>
    <t>Rustenburg / Kgetlengriver</t>
  </si>
  <si>
    <t>Moses Kotane</t>
  </si>
  <si>
    <t>Ratlou</t>
  </si>
  <si>
    <t>Tswaing</t>
  </si>
  <si>
    <t>Mafikeng</t>
  </si>
  <si>
    <t>Ditsobotla</t>
  </si>
  <si>
    <t>Ramotshere Moiloa</t>
  </si>
  <si>
    <t>Naledi</t>
  </si>
  <si>
    <t>Mamusa / Lekwa-Teemane</t>
  </si>
  <si>
    <t>Greater Taung</t>
  </si>
  <si>
    <t>Kagisano Molopo</t>
  </si>
  <si>
    <t>Matlosana</t>
  </si>
  <si>
    <t>Maquassi Hills</t>
  </si>
  <si>
    <t>JB Marks</t>
  </si>
  <si>
    <t>NORTH WEST</t>
  </si>
  <si>
    <t>NUMBER OF IEC WARDS</t>
  </si>
  <si>
    <t>PERCENTAGE % TOWARDS BPA/BGA</t>
  </si>
  <si>
    <t>BUF-Duncan Village</t>
  </si>
  <si>
    <t>BUF-East London</t>
  </si>
  <si>
    <t>BUF-King Williams Town</t>
  </si>
  <si>
    <t>BUF-Mdantsane</t>
  </si>
  <si>
    <t>Dr. Beyers Naude / Blue Crane Route</t>
  </si>
  <si>
    <t>12 + 6 = 18</t>
  </si>
  <si>
    <t>Kouga / Kou-Kamma</t>
  </si>
  <si>
    <t>15 + 6 = 21</t>
  </si>
  <si>
    <t>Makana</t>
  </si>
  <si>
    <t>Ndlambe</t>
  </si>
  <si>
    <t>Sundays River Valley</t>
  </si>
  <si>
    <t>Amahlathi / Great Kei</t>
  </si>
  <si>
    <t>15 + 7 = 22</t>
  </si>
  <si>
    <t>Mbashe</t>
  </si>
  <si>
    <t>Mnquma</t>
  </si>
  <si>
    <t>Ngqushwa</t>
  </si>
  <si>
    <t>Raymond Mhlaba</t>
  </si>
  <si>
    <t>Inxuba Yethemba</t>
  </si>
  <si>
    <t>Intsika Yethu</t>
  </si>
  <si>
    <t>Dr AB Xuma</t>
  </si>
  <si>
    <t>Sakhisizwe</t>
  </si>
  <si>
    <t>Enoch Mgijima</t>
  </si>
  <si>
    <t>Elundini</t>
  </si>
  <si>
    <t>Senqu</t>
  </si>
  <si>
    <t>Walter Sisulu</t>
  </si>
  <si>
    <t>Ngquza Hill</t>
  </si>
  <si>
    <t>Port St Johns</t>
  </si>
  <si>
    <t>Mhlontlo</t>
  </si>
  <si>
    <t>King Sabata Dalindyebo</t>
  </si>
  <si>
    <t>Nyandeni</t>
  </si>
  <si>
    <t>Matatiele</t>
  </si>
  <si>
    <t>Umzimvubu</t>
  </si>
  <si>
    <t>Winnie Madikizela Mandela</t>
  </si>
  <si>
    <t>Ntabankulu</t>
  </si>
  <si>
    <t>NMA-Alex Matikama</t>
  </si>
  <si>
    <t>NMA-Champion Galela</t>
  </si>
  <si>
    <t>NMA-Govan Mbeki</t>
  </si>
  <si>
    <t>NMA-Molly Blackburn</t>
  </si>
  <si>
    <t>NMA-Lillian Diedericks</t>
  </si>
  <si>
    <t>EASTERN CAPE</t>
  </si>
  <si>
    <t>Letsemeng / Mohokare</t>
  </si>
  <si>
    <t>7 + 7 = 14</t>
  </si>
  <si>
    <t>Kopanong</t>
  </si>
  <si>
    <t>Nala</t>
  </si>
  <si>
    <t>Matjhabeng</t>
  </si>
  <si>
    <t>Tswelopele / Tokologo</t>
  </si>
  <si>
    <t>9 + 7 = 16</t>
  </si>
  <si>
    <t>Masilonyana</t>
  </si>
  <si>
    <t>Mantsopa</t>
  </si>
  <si>
    <t>Setsoto</t>
  </si>
  <si>
    <t>Phumelela</t>
  </si>
  <si>
    <t>Maluti-a-phofung</t>
  </si>
  <si>
    <t>Nketoana</t>
  </si>
  <si>
    <t>Dihlabeng</t>
  </si>
  <si>
    <t>Moqhaka</t>
  </si>
  <si>
    <t>Mafube</t>
  </si>
  <si>
    <t>Metsimaholo</t>
  </si>
  <si>
    <t>Ngwathe</t>
  </si>
  <si>
    <t>MAN-Bloemfontein</t>
  </si>
  <si>
    <t>MAN-Botshabelo / MAN-Thaba Nchu / MAN-Naledi</t>
  </si>
  <si>
    <t>12+5+2 = 19</t>
  </si>
  <si>
    <t>FREE STATE</t>
  </si>
  <si>
    <t>26 + 5 = 31</t>
  </si>
  <si>
    <t>ETH – Central</t>
  </si>
  <si>
    <t>ETH - Far North</t>
  </si>
  <si>
    <t>ETH - Far South</t>
  </si>
  <si>
    <t>ETH - Inner West</t>
  </si>
  <si>
    <t>ETH - North Central</t>
  </si>
  <si>
    <t>ETH - North West</t>
  </si>
  <si>
    <t>ETH - Outer West</t>
  </si>
  <si>
    <t>ETH – South</t>
  </si>
  <si>
    <t>ETH - South Central / ETH - South West</t>
  </si>
  <si>
    <t>Umuziwabantu</t>
  </si>
  <si>
    <t>Ray Nkonyeni</t>
  </si>
  <si>
    <t>Umdoni</t>
  </si>
  <si>
    <t>Umzumbe</t>
  </si>
  <si>
    <t>Newcastle / eMadlangeni</t>
  </si>
  <si>
    <t>34 + 6 = 40</t>
  </si>
  <si>
    <t>Dannhauser</t>
  </si>
  <si>
    <t>Abaqulusi</t>
  </si>
  <si>
    <t>EDumbe</t>
  </si>
  <si>
    <t>Nongoma</t>
  </si>
  <si>
    <t>Ulundi</t>
  </si>
  <si>
    <t>Uphongolo</t>
  </si>
  <si>
    <t>Big 5 Hlabisa</t>
  </si>
  <si>
    <t>Jozini</t>
  </si>
  <si>
    <t>Mtubatuba</t>
  </si>
  <si>
    <t>Umhlabuyalingana</t>
  </si>
  <si>
    <t>KwaDukuza</t>
  </si>
  <si>
    <t>Mandeni</t>
  </si>
  <si>
    <t>Maphumulo</t>
  </si>
  <si>
    <t>Ndwedwe</t>
  </si>
  <si>
    <t>Dr. Nkosasana Dlamini Zuma / Impendle</t>
  </si>
  <si>
    <t>15 + 5 = 20</t>
  </si>
  <si>
    <t>Greater Kokstad</t>
  </si>
  <si>
    <t>Ubuhlebezwe</t>
  </si>
  <si>
    <t>Umzimkhulu</t>
  </si>
  <si>
    <t>Msunduzi / Mpofana</t>
  </si>
  <si>
    <t>41 + 5 = 46</t>
  </si>
  <si>
    <t>Richmond / Mkhambathini</t>
  </si>
  <si>
    <t xml:space="preserve">uMngeni </t>
  </si>
  <si>
    <t>uMshwathi</t>
  </si>
  <si>
    <t>Alfred Duma</t>
  </si>
  <si>
    <t>iNkosi Langalibalele</t>
  </si>
  <si>
    <t>Okhahlamba</t>
  </si>
  <si>
    <t>Nqutu / Endumeni</t>
  </si>
  <si>
    <t>19 + 7 = 26</t>
  </si>
  <si>
    <t>Umsinga</t>
  </si>
  <si>
    <t>Umvoti</t>
  </si>
  <si>
    <t>Mthonjaneni</t>
  </si>
  <si>
    <t>Nkandla</t>
  </si>
  <si>
    <t>uMfolozi</t>
  </si>
  <si>
    <t>uMhlathuze</t>
  </si>
  <si>
    <t>Umlalazi</t>
  </si>
  <si>
    <t>KWA-ZULU NATAL</t>
  </si>
  <si>
    <t xml:space="preserve">Govan Mbeki </t>
  </si>
  <si>
    <t>Msukaligwa</t>
  </si>
  <si>
    <t>Chief Albert Luthuli</t>
  </si>
  <si>
    <t>Mkhondo</t>
  </si>
  <si>
    <t>Lekwa / Dipaleseng</t>
  </si>
  <si>
    <t>15+6 =21</t>
  </si>
  <si>
    <t>Dr Pixley Ka Isaka Seme</t>
  </si>
  <si>
    <t>Emalahleni</t>
  </si>
  <si>
    <t>Thembisile Hani</t>
  </si>
  <si>
    <t>Dr JS Moroka</t>
  </si>
  <si>
    <t>Steve Tshwete</t>
  </si>
  <si>
    <t>Emakhazeni</t>
  </si>
  <si>
    <t>Victor Khanye</t>
  </si>
  <si>
    <t>City of Mbombela</t>
  </si>
  <si>
    <t>Nkomazi</t>
  </si>
  <si>
    <t>Bushbuckridge</t>
  </si>
  <si>
    <t>Thaba Chweu</t>
  </si>
  <si>
    <t>MPUMALANGA</t>
  </si>
  <si>
    <t>45 + 7 = 52</t>
  </si>
  <si>
    <t>8 + 7 = 15</t>
  </si>
  <si>
    <t>Dawid Kruiper</t>
  </si>
  <si>
    <t xml:space="preserve">Kai !Garib </t>
  </si>
  <si>
    <t>Tsantsabane / Kgatelopele</t>
  </si>
  <si>
    <t>7 + 6 = 13</t>
  </si>
  <si>
    <t>Emthanjeni / Thembelihle / Renosterberg</t>
  </si>
  <si>
    <t>8+ 6 + 5 = 19</t>
  </si>
  <si>
    <t>Ubuntu / Kareeberg</t>
  </si>
  <si>
    <t>6 + 6 = 12</t>
  </si>
  <si>
    <t>Siyancuma / Siyathemba</t>
  </si>
  <si>
    <t>Sol Plaatjie</t>
  </si>
  <si>
    <t>Dikgatlong</t>
  </si>
  <si>
    <t>Phokwane / Magareng</t>
  </si>
  <si>
    <t>10 + 6 = 16</t>
  </si>
  <si>
    <t>Joe Morolong</t>
  </si>
  <si>
    <t>Ga-Segonyana</t>
  </si>
  <si>
    <t>Gamagara</t>
  </si>
  <si>
    <t>Hantam / !Kheis / Karoo Hoogland</t>
  </si>
  <si>
    <t>7 + 6 + 6 = 19</t>
  </si>
  <si>
    <t>Kamiesberg / KHÃ¢-Ma</t>
  </si>
  <si>
    <t>Nama Khoi / Richtersveld</t>
  </si>
  <si>
    <t>9 + 6 = 15</t>
  </si>
  <si>
    <t>NORTHERN CAPE</t>
  </si>
  <si>
    <t>CPT - Zone 1</t>
  </si>
  <si>
    <t>CPT - Zone 2</t>
  </si>
  <si>
    <t>CPT - Zone 3</t>
  </si>
  <si>
    <t>CPT - Zone 4</t>
  </si>
  <si>
    <t>CPT - Zone 5</t>
  </si>
  <si>
    <t>CPT - Zone 6</t>
  </si>
  <si>
    <t>CPT - Zone 7</t>
  </si>
  <si>
    <t>CPT - Zone 8</t>
  </si>
  <si>
    <t>CPT - Zone 9</t>
  </si>
  <si>
    <t>CPT - Zone 10</t>
  </si>
  <si>
    <t>Bergrivier / Cederberg</t>
  </si>
  <si>
    <t>Saldanha Bay</t>
  </si>
  <si>
    <t>Matzikama</t>
  </si>
  <si>
    <t>Swartland</t>
  </si>
  <si>
    <t>Cape Agulhas / Swellendam</t>
  </si>
  <si>
    <t>Overstrand</t>
  </si>
  <si>
    <t>Theewaterskloof</t>
  </si>
  <si>
    <t>Breede Valley</t>
  </si>
  <si>
    <t>Drakenstein</t>
  </si>
  <si>
    <t>Stellenbosch</t>
  </si>
  <si>
    <t>Langeberg / Laingsburg</t>
  </si>
  <si>
    <t>12 + 4 = 16</t>
  </si>
  <si>
    <t>Witzenberg</t>
  </si>
  <si>
    <t>George</t>
  </si>
  <si>
    <t>Hessequa</t>
  </si>
  <si>
    <t xml:space="preserve">Kannaland </t>
  </si>
  <si>
    <t xml:space="preserve">Knysna / Bitou </t>
  </si>
  <si>
    <t>11 + 7 = 18</t>
  </si>
  <si>
    <t>Mossel Bay</t>
  </si>
  <si>
    <t>13 + 4 =17</t>
  </si>
  <si>
    <t>WESTERN CAPE</t>
  </si>
  <si>
    <t>NUMBER OF BRANCHES CONVENED</t>
  </si>
  <si>
    <t>PROVINCE</t>
  </si>
  <si>
    <t>TOTAL NUMBER OF REGISTERS ISSUED</t>
  </si>
  <si>
    <t>NUMBER OF BRANCHES CONVENED BPA/BGA</t>
  </si>
  <si>
    <r>
      <t>NUMBER OF BRANCHES PASSED FINAL AUDIT TO THE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</si>
  <si>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r>
      <t>NUMBER OF BRANCHES FAILED AUDIT FINAL AUDIT TO THE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</si>
  <si>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t>NUMBER OF BRANCHES CURRENTLY IN AUDIT</t>
  </si>
  <si>
    <r>
      <t>PERCENTAGE % TOWARDS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</si>
  <si>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t>KWAZULU NATAL</t>
  </si>
  <si>
    <t>NUMBER OF BRANCHES NOT CONVENED</t>
  </si>
  <si>
    <t>NUMBER OF BRANCHES NOT CONVENED BPA/BGA</t>
  </si>
  <si>
    <t>NMA-Zola Nqini</t>
  </si>
  <si>
    <t>Oudtshoorn / Prince Albert</t>
  </si>
  <si>
    <t>Umsombomvu / Beaufort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</si>
</sst>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9" fontId="0" fillId="0" borderId="1" xfId="1" applyFont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9" fontId="8" fillId="7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9" fontId="0" fillId="6" borderId="1" xfId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42CA-4EDD-4429-8C69-B8B34DDF6056}">
  <dimension ref="A1:H287"/>
  <sheetViews>
    <sheetView tabSelected="1" topLeftCell="A267" zoomScale="115" zoomScaleNormal="115" workbookViewId="0">
      <selection activeCell="G261" sqref="G261"/>
    </sheetView>
  </sheetViews>
  <sheetFormatPr defaultRowHeight="14.5" x14ac:dyDescent="0.35"/>
  <cols>
    <col min="1" max="1" width="31.26953125" customWidth="1"/>
    <col min="2" max="2" width="12.54296875" bestFit="1" customWidth="1"/>
    <col min="3" max="3" width="3" hidden="1" customWidth="1"/>
    <col min="4" max="5" width="16" hidden="1" customWidth="1"/>
    <col min="6" max="7" width="13.453125" bestFit="1" customWidth="1"/>
    <col min="8" max="8" width="16" customWidth="1"/>
  </cols>
  <sheetData>
    <row r="1" spans="1:8" s="21" customFormat="1" ht="43.5" x14ac:dyDescent="0.35">
      <c r="A1" s="1" t="s">
        <v>0</v>
      </c>
      <c r="B1" s="8" t="s">
        <v>68</v>
      </c>
      <c r="C1" s="8"/>
      <c r="D1" s="8" t="s">
        <v>258</v>
      </c>
      <c r="E1" s="8" t="s">
        <v>267</v>
      </c>
      <c r="F1" s="8" t="s">
        <v>26</v>
      </c>
      <c r="G1" s="8" t="s">
        <v>27</v>
      </c>
      <c r="H1" s="9" t="s">
        <v>69</v>
      </c>
    </row>
    <row r="2" spans="1:8" s="20" customFormat="1" x14ac:dyDescent="0.35">
      <c r="A2" s="33" t="s">
        <v>70</v>
      </c>
      <c r="B2" s="34">
        <v>8</v>
      </c>
      <c r="C2" s="34"/>
      <c r="D2" s="34">
        <f>SUM(F2:G2)</f>
        <v>8</v>
      </c>
      <c r="E2" s="34">
        <f>B2-D2</f>
        <v>0</v>
      </c>
      <c r="F2" s="34">
        <v>3</v>
      </c>
      <c r="G2" s="19">
        <v>5</v>
      </c>
      <c r="H2" s="35">
        <f>F2/B2</f>
        <v>0.375</v>
      </c>
    </row>
    <row r="3" spans="1:8" x14ac:dyDescent="0.35">
      <c r="A3" s="15" t="s">
        <v>71</v>
      </c>
      <c r="B3" s="17">
        <v>17</v>
      </c>
      <c r="C3" s="17"/>
      <c r="D3" s="17">
        <v>14</v>
      </c>
      <c r="E3" s="17">
        <f>B3-D3</f>
        <v>3</v>
      </c>
      <c r="F3" s="17">
        <v>16</v>
      </c>
      <c r="G3" s="16">
        <v>0</v>
      </c>
      <c r="H3" s="18">
        <f>F3/B3</f>
        <v>0.94117647058823528</v>
      </c>
    </row>
    <row r="4" spans="1:8" x14ac:dyDescent="0.35">
      <c r="A4" s="33" t="s">
        <v>72</v>
      </c>
      <c r="B4" s="34">
        <v>13</v>
      </c>
      <c r="C4" s="34"/>
      <c r="D4" s="34">
        <v>6</v>
      </c>
      <c r="E4" s="34">
        <f>B4-D4</f>
        <v>7</v>
      </c>
      <c r="F4" s="34">
        <v>5</v>
      </c>
      <c r="G4" s="19">
        <v>3</v>
      </c>
      <c r="H4" s="35">
        <f>F4/B4</f>
        <v>0.38461538461538464</v>
      </c>
    </row>
    <row r="5" spans="1:8" s="20" customFormat="1" x14ac:dyDescent="0.35">
      <c r="A5" s="33" t="s">
        <v>73</v>
      </c>
      <c r="B5" s="34">
        <v>12</v>
      </c>
      <c r="C5" s="34"/>
      <c r="D5" s="34">
        <v>12</v>
      </c>
      <c r="E5" s="34">
        <f>B5-D5</f>
        <v>0</v>
      </c>
      <c r="F5" s="34">
        <v>6</v>
      </c>
      <c r="G5" s="19">
        <v>4</v>
      </c>
      <c r="H5" s="35">
        <f>F5/B5</f>
        <v>0.5</v>
      </c>
    </row>
    <row r="6" spans="1:8" s="23" customFormat="1" x14ac:dyDescent="0.35">
      <c r="A6" s="5" t="s">
        <v>1</v>
      </c>
      <c r="B6" s="22">
        <f>SUM(B2:B5)</f>
        <v>50</v>
      </c>
      <c r="C6" s="22"/>
      <c r="D6" s="22">
        <f>SUM(D2:D5)</f>
        <v>40</v>
      </c>
      <c r="E6" s="22">
        <f>SUM(E2:E5)</f>
        <v>10</v>
      </c>
      <c r="F6" s="22">
        <f>SUM(F2:F5)</f>
        <v>30</v>
      </c>
      <c r="G6" s="22">
        <f>SUM(G2:G5)</f>
        <v>12</v>
      </c>
      <c r="H6" s="11">
        <f>F6/B6</f>
        <v>0.6</v>
      </c>
    </row>
    <row r="7" spans="1:8" x14ac:dyDescent="0.35">
      <c r="A7" s="2" t="s">
        <v>74</v>
      </c>
      <c r="B7" s="6" t="s">
        <v>75</v>
      </c>
      <c r="C7" s="6">
        <v>18</v>
      </c>
      <c r="D7" s="3">
        <v>2</v>
      </c>
      <c r="E7" s="3">
        <f>C7-D7</f>
        <v>16</v>
      </c>
      <c r="F7" s="3">
        <v>1</v>
      </c>
      <c r="G7" s="4">
        <v>1</v>
      </c>
      <c r="H7" s="10">
        <f>F7/C7</f>
        <v>5.5555555555555552E-2</v>
      </c>
    </row>
    <row r="8" spans="1:8" x14ac:dyDescent="0.35">
      <c r="A8" s="2" t="s">
        <v>76</v>
      </c>
      <c r="B8" s="6" t="s">
        <v>77</v>
      </c>
      <c r="C8" s="6">
        <v>21</v>
      </c>
      <c r="D8" s="3">
        <f>SUM(F8:G8)</f>
        <v>1</v>
      </c>
      <c r="E8" s="3">
        <f>C8-D8</f>
        <v>20</v>
      </c>
      <c r="F8" s="3">
        <v>1</v>
      </c>
      <c r="G8" s="4">
        <v>0</v>
      </c>
      <c r="H8" s="10">
        <f>F8/C8</f>
        <v>4.7619047619047616E-2</v>
      </c>
    </row>
    <row r="9" spans="1:8" x14ac:dyDescent="0.35">
      <c r="A9" s="2" t="s">
        <v>78</v>
      </c>
      <c r="B9" s="6">
        <v>14</v>
      </c>
      <c r="C9" s="6"/>
      <c r="D9" s="3">
        <v>3</v>
      </c>
      <c r="E9" s="3">
        <f>B9-D9</f>
        <v>11</v>
      </c>
      <c r="F9" s="3">
        <v>0</v>
      </c>
      <c r="G9" s="4">
        <v>3</v>
      </c>
      <c r="H9" s="10">
        <f>F9/B9</f>
        <v>0</v>
      </c>
    </row>
    <row r="10" spans="1:8" x14ac:dyDescent="0.35">
      <c r="A10" s="2" t="s">
        <v>79</v>
      </c>
      <c r="B10" s="6">
        <v>10</v>
      </c>
      <c r="C10" s="6"/>
      <c r="D10" s="3">
        <v>3</v>
      </c>
      <c r="E10" s="3">
        <f>B10-D10</f>
        <v>7</v>
      </c>
      <c r="F10" s="3">
        <v>2</v>
      </c>
      <c r="G10" s="4">
        <v>1</v>
      </c>
      <c r="H10" s="10">
        <f>F10/B10</f>
        <v>0.2</v>
      </c>
    </row>
    <row r="11" spans="1:8" x14ac:dyDescent="0.35">
      <c r="A11" s="2" t="s">
        <v>80</v>
      </c>
      <c r="B11" s="6">
        <v>8</v>
      </c>
      <c r="C11" s="6"/>
      <c r="D11" s="3">
        <v>2</v>
      </c>
      <c r="E11" s="3">
        <f>B11-D11</f>
        <v>6</v>
      </c>
      <c r="F11" s="3">
        <v>0</v>
      </c>
      <c r="G11" s="4">
        <v>2</v>
      </c>
      <c r="H11" s="10">
        <f>F11/B11</f>
        <v>0</v>
      </c>
    </row>
    <row r="12" spans="1:8" x14ac:dyDescent="0.35">
      <c r="A12" s="5" t="s">
        <v>1</v>
      </c>
      <c r="B12" s="7">
        <f>14+10+8+18+21</f>
        <v>71</v>
      </c>
      <c r="C12" s="7"/>
      <c r="D12" s="7">
        <f>SUM(D7:D11)</f>
        <v>11</v>
      </c>
      <c r="E12" s="7">
        <f>SUM(E7:E11)</f>
        <v>60</v>
      </c>
      <c r="F12" s="7">
        <f>SUM(F7:F11)</f>
        <v>4</v>
      </c>
      <c r="G12" s="7">
        <f>SUM(G7:G11)</f>
        <v>7</v>
      </c>
      <c r="H12" s="11">
        <f>F12/B12</f>
        <v>5.6338028169014086E-2</v>
      </c>
    </row>
    <row r="13" spans="1:8" x14ac:dyDescent="0.35">
      <c r="A13" s="2" t="s">
        <v>81</v>
      </c>
      <c r="B13" s="6" t="s">
        <v>82</v>
      </c>
      <c r="C13" s="6">
        <v>22</v>
      </c>
      <c r="D13" s="3">
        <f>SUM(F13:G13)</f>
        <v>4</v>
      </c>
      <c r="E13" s="3">
        <f>C13-D13</f>
        <v>18</v>
      </c>
      <c r="F13" s="3">
        <v>4</v>
      </c>
      <c r="G13" s="4">
        <v>0</v>
      </c>
      <c r="H13" s="10">
        <f>F13/C13</f>
        <v>0.18181818181818182</v>
      </c>
    </row>
    <row r="14" spans="1:8" x14ac:dyDescent="0.35">
      <c r="A14" s="2" t="s">
        <v>83</v>
      </c>
      <c r="B14" s="6">
        <v>32</v>
      </c>
      <c r="C14" s="6"/>
      <c r="D14" s="3">
        <f>SUM(F14:G14)</f>
        <v>6</v>
      </c>
      <c r="E14" s="3">
        <f>B14-D14</f>
        <v>26</v>
      </c>
      <c r="F14" s="3">
        <v>1</v>
      </c>
      <c r="G14" s="4">
        <v>5</v>
      </c>
      <c r="H14" s="10">
        <f t="shared" ref="H14:H48" si="0">F14/B14</f>
        <v>3.125E-2</v>
      </c>
    </row>
    <row r="15" spans="1:8" x14ac:dyDescent="0.35">
      <c r="A15" s="2" t="s">
        <v>84</v>
      </c>
      <c r="B15" s="6">
        <v>32</v>
      </c>
      <c r="C15" s="6"/>
      <c r="D15" s="3">
        <f>SUM(F15:G15)</f>
        <v>5</v>
      </c>
      <c r="E15" s="3">
        <f>B15-D15</f>
        <v>27</v>
      </c>
      <c r="F15" s="3">
        <v>2</v>
      </c>
      <c r="G15" s="4">
        <v>3</v>
      </c>
      <c r="H15" s="10">
        <f t="shared" si="0"/>
        <v>6.25E-2</v>
      </c>
    </row>
    <row r="16" spans="1:8" x14ac:dyDescent="0.35">
      <c r="A16" s="2" t="s">
        <v>85</v>
      </c>
      <c r="B16" s="6">
        <v>12</v>
      </c>
      <c r="C16" s="6"/>
      <c r="D16" s="3">
        <f>SUM(F16:G16)</f>
        <v>2</v>
      </c>
      <c r="E16" s="3">
        <f>B16-D16</f>
        <v>10</v>
      </c>
      <c r="F16" s="3">
        <v>2</v>
      </c>
      <c r="G16" s="4">
        <v>0</v>
      </c>
      <c r="H16" s="10">
        <f t="shared" si="0"/>
        <v>0.16666666666666666</v>
      </c>
    </row>
    <row r="17" spans="1:8" x14ac:dyDescent="0.35">
      <c r="A17" s="2" t="s">
        <v>86</v>
      </c>
      <c r="B17" s="6">
        <v>23</v>
      </c>
      <c r="C17" s="6"/>
      <c r="D17" s="3">
        <f>SUM(F17:G17)</f>
        <v>4</v>
      </c>
      <c r="E17" s="3">
        <f>B17-D17</f>
        <v>19</v>
      </c>
      <c r="F17" s="3">
        <v>3</v>
      </c>
      <c r="G17" s="4">
        <v>1</v>
      </c>
      <c r="H17" s="10">
        <f t="shared" si="0"/>
        <v>0.13043478260869565</v>
      </c>
    </row>
    <row r="18" spans="1:8" x14ac:dyDescent="0.35">
      <c r="A18" s="5" t="s">
        <v>1</v>
      </c>
      <c r="B18" s="7">
        <f>22+32+32+12+23</f>
        <v>121</v>
      </c>
      <c r="C18" s="7">
        <f>22+32+32+12+23</f>
        <v>121</v>
      </c>
      <c r="D18" s="7">
        <f>SUM(D13:D17)</f>
        <v>21</v>
      </c>
      <c r="E18" s="7">
        <f>SUM(E13:E17)</f>
        <v>100</v>
      </c>
      <c r="F18" s="7">
        <f>SUM(F13:F17)</f>
        <v>12</v>
      </c>
      <c r="G18" s="7">
        <f>SUM(G13:G17)</f>
        <v>9</v>
      </c>
      <c r="H18" s="11">
        <f t="shared" si="0"/>
        <v>9.9173553719008267E-2</v>
      </c>
    </row>
    <row r="19" spans="1:8" x14ac:dyDescent="0.35">
      <c r="A19" s="2" t="s">
        <v>87</v>
      </c>
      <c r="B19" s="6">
        <v>9</v>
      </c>
      <c r="C19" s="6"/>
      <c r="D19" s="3">
        <f>SUM(F19:G19)</f>
        <v>0</v>
      </c>
      <c r="E19" s="3">
        <f t="shared" ref="E19:E24" si="1">B19-D19</f>
        <v>9</v>
      </c>
      <c r="F19" s="3">
        <v>0</v>
      </c>
      <c r="G19" s="4">
        <v>0</v>
      </c>
      <c r="H19" s="10">
        <f t="shared" si="0"/>
        <v>0</v>
      </c>
    </row>
    <row r="20" spans="1:8" x14ac:dyDescent="0.35">
      <c r="A20" s="2" t="s">
        <v>88</v>
      </c>
      <c r="B20" s="6">
        <v>21</v>
      </c>
      <c r="C20" s="6"/>
      <c r="D20" s="3">
        <f>SUM(F20:G20)</f>
        <v>7</v>
      </c>
      <c r="E20" s="3">
        <f t="shared" si="1"/>
        <v>14</v>
      </c>
      <c r="F20" s="3">
        <v>5</v>
      </c>
      <c r="G20" s="4">
        <v>2</v>
      </c>
      <c r="H20" s="10">
        <f t="shared" si="0"/>
        <v>0.23809523809523808</v>
      </c>
    </row>
    <row r="21" spans="1:8" x14ac:dyDescent="0.35">
      <c r="A21" s="2" t="s">
        <v>192</v>
      </c>
      <c r="B21" s="6">
        <v>17</v>
      </c>
      <c r="C21" s="6"/>
      <c r="D21" s="3">
        <f>SUM(F21:G21)</f>
        <v>2</v>
      </c>
      <c r="E21" s="3">
        <f t="shared" si="1"/>
        <v>15</v>
      </c>
      <c r="F21" s="3">
        <v>1</v>
      </c>
      <c r="G21" s="4">
        <v>1</v>
      </c>
      <c r="H21" s="10">
        <f t="shared" si="0"/>
        <v>5.8823529411764705E-2</v>
      </c>
    </row>
    <row r="22" spans="1:8" x14ac:dyDescent="0.35">
      <c r="A22" s="2" t="s">
        <v>89</v>
      </c>
      <c r="B22" s="6">
        <v>20</v>
      </c>
      <c r="C22" s="6"/>
      <c r="D22" s="3">
        <v>3</v>
      </c>
      <c r="E22" s="3">
        <f t="shared" si="1"/>
        <v>17</v>
      </c>
      <c r="F22" s="3">
        <v>3</v>
      </c>
      <c r="G22" s="4">
        <v>3</v>
      </c>
      <c r="H22" s="10">
        <f t="shared" si="0"/>
        <v>0.15</v>
      </c>
    </row>
    <row r="23" spans="1:8" x14ac:dyDescent="0.35">
      <c r="A23" s="2" t="s">
        <v>90</v>
      </c>
      <c r="B23" s="6">
        <v>9</v>
      </c>
      <c r="C23" s="6"/>
      <c r="D23" s="3">
        <f>SUM(F23:G23)</f>
        <v>0</v>
      </c>
      <c r="E23" s="3">
        <f t="shared" si="1"/>
        <v>9</v>
      </c>
      <c r="F23" s="3">
        <v>0</v>
      </c>
      <c r="G23" s="4">
        <v>0</v>
      </c>
      <c r="H23" s="10">
        <f t="shared" si="0"/>
        <v>0</v>
      </c>
    </row>
    <row r="24" spans="1:8" x14ac:dyDescent="0.35">
      <c r="A24" s="2" t="s">
        <v>91</v>
      </c>
      <c r="B24" s="6">
        <v>34</v>
      </c>
      <c r="C24" s="6"/>
      <c r="D24" s="3">
        <v>3</v>
      </c>
      <c r="E24" s="3">
        <f t="shared" si="1"/>
        <v>31</v>
      </c>
      <c r="F24" s="3">
        <v>3</v>
      </c>
      <c r="G24" s="4">
        <v>1</v>
      </c>
      <c r="H24" s="10">
        <f t="shared" si="0"/>
        <v>8.8235294117647065E-2</v>
      </c>
    </row>
    <row r="25" spans="1:8" x14ac:dyDescent="0.35">
      <c r="A25" s="5" t="s">
        <v>1</v>
      </c>
      <c r="B25" s="7">
        <f>SUM(B19:B24)</f>
        <v>110</v>
      </c>
      <c r="C25" s="7"/>
      <c r="D25" s="7">
        <f>SUM(D19:D24)</f>
        <v>15</v>
      </c>
      <c r="E25" s="7">
        <f>SUM(E19:E24)</f>
        <v>95</v>
      </c>
      <c r="F25" s="7">
        <f>SUM(F19:F24)</f>
        <v>12</v>
      </c>
      <c r="G25" s="7">
        <f>SUM(G19:G24)</f>
        <v>7</v>
      </c>
      <c r="H25" s="11">
        <f t="shared" si="0"/>
        <v>0.10909090909090909</v>
      </c>
    </row>
    <row r="26" spans="1:8" x14ac:dyDescent="0.35">
      <c r="A26" s="2" t="s">
        <v>92</v>
      </c>
      <c r="B26" s="6">
        <v>17</v>
      </c>
      <c r="C26" s="6"/>
      <c r="D26" s="3">
        <f>SUM(F26:G26)</f>
        <v>2</v>
      </c>
      <c r="E26" s="3">
        <f>B26-D26</f>
        <v>15</v>
      </c>
      <c r="F26" s="3">
        <v>0</v>
      </c>
      <c r="G26" s="4">
        <v>2</v>
      </c>
      <c r="H26" s="10">
        <f t="shared" si="0"/>
        <v>0</v>
      </c>
    </row>
    <row r="27" spans="1:8" x14ac:dyDescent="0.35">
      <c r="A27" s="2" t="s">
        <v>93</v>
      </c>
      <c r="B27" s="6">
        <v>17</v>
      </c>
      <c r="C27" s="6"/>
      <c r="D27" s="3">
        <v>4</v>
      </c>
      <c r="E27" s="3">
        <f>B27-D27</f>
        <v>13</v>
      </c>
      <c r="F27" s="3">
        <v>4</v>
      </c>
      <c r="G27" s="4">
        <v>0</v>
      </c>
      <c r="H27" s="10">
        <f t="shared" si="0"/>
        <v>0.23529411764705882</v>
      </c>
    </row>
    <row r="28" spans="1:8" x14ac:dyDescent="0.35">
      <c r="A28" s="2" t="s">
        <v>94</v>
      </c>
      <c r="B28" s="6">
        <v>11</v>
      </c>
      <c r="C28" s="6"/>
      <c r="D28" s="3">
        <v>5</v>
      </c>
      <c r="E28" s="3">
        <f>B28-D28</f>
        <v>6</v>
      </c>
      <c r="F28" s="3">
        <v>3</v>
      </c>
      <c r="G28" s="4">
        <v>2</v>
      </c>
      <c r="H28" s="10">
        <f t="shared" si="0"/>
        <v>0.27272727272727271</v>
      </c>
    </row>
    <row r="29" spans="1:8" x14ac:dyDescent="0.35">
      <c r="A29" s="5" t="s">
        <v>1</v>
      </c>
      <c r="B29" s="7">
        <f>SUM(B26:B28)</f>
        <v>45</v>
      </c>
      <c r="C29" s="7"/>
      <c r="D29" s="7">
        <f>SUM(D26:D28)</f>
        <v>11</v>
      </c>
      <c r="E29" s="7">
        <f>SUM(E26:E28)</f>
        <v>34</v>
      </c>
      <c r="F29" s="7">
        <f>SUM(F26:F28)</f>
        <v>7</v>
      </c>
      <c r="G29" s="7">
        <f>SUM(G26:G28)</f>
        <v>4</v>
      </c>
      <c r="H29" s="11">
        <f t="shared" si="0"/>
        <v>0.15555555555555556</v>
      </c>
    </row>
    <row r="30" spans="1:8" x14ac:dyDescent="0.35">
      <c r="A30" s="2" t="s">
        <v>95</v>
      </c>
      <c r="B30" s="6">
        <v>32</v>
      </c>
      <c r="C30" s="6"/>
      <c r="D30" s="3">
        <v>7</v>
      </c>
      <c r="E30" s="3">
        <f>B30-D30</f>
        <v>25</v>
      </c>
      <c r="F30" s="3">
        <v>1</v>
      </c>
      <c r="G30" s="4">
        <v>6</v>
      </c>
      <c r="H30" s="10">
        <f t="shared" si="0"/>
        <v>3.125E-2</v>
      </c>
    </row>
    <row r="31" spans="1:8" x14ac:dyDescent="0.35">
      <c r="A31" s="2" t="s">
        <v>96</v>
      </c>
      <c r="B31" s="6">
        <v>20</v>
      </c>
      <c r="C31" s="6"/>
      <c r="D31" s="3">
        <f>SUM(F31:G31)</f>
        <v>3</v>
      </c>
      <c r="E31" s="3">
        <f>B31-D31</f>
        <v>17</v>
      </c>
      <c r="F31" s="3">
        <v>1</v>
      </c>
      <c r="G31" s="4">
        <v>2</v>
      </c>
      <c r="H31" s="10">
        <f t="shared" si="0"/>
        <v>0.05</v>
      </c>
    </row>
    <row r="32" spans="1:8" x14ac:dyDescent="0.35">
      <c r="A32" s="2" t="s">
        <v>97</v>
      </c>
      <c r="B32" s="6">
        <v>26</v>
      </c>
      <c r="C32" s="6"/>
      <c r="D32" s="3">
        <v>6</v>
      </c>
      <c r="E32" s="3">
        <f>B32-D32</f>
        <v>20</v>
      </c>
      <c r="F32" s="3">
        <v>3</v>
      </c>
      <c r="G32" s="4">
        <v>5</v>
      </c>
      <c r="H32" s="10">
        <f t="shared" si="0"/>
        <v>0.11538461538461539</v>
      </c>
    </row>
    <row r="33" spans="1:8" x14ac:dyDescent="0.35">
      <c r="A33" s="2" t="s">
        <v>98</v>
      </c>
      <c r="B33" s="6">
        <v>37</v>
      </c>
      <c r="C33" s="6"/>
      <c r="D33" s="3">
        <f>SUM(F33:G33)</f>
        <v>13</v>
      </c>
      <c r="E33" s="3">
        <f>B33-D33</f>
        <v>24</v>
      </c>
      <c r="F33" s="3">
        <v>6</v>
      </c>
      <c r="G33" s="4">
        <v>7</v>
      </c>
      <c r="H33" s="10">
        <f t="shared" si="0"/>
        <v>0.16216216216216217</v>
      </c>
    </row>
    <row r="34" spans="1:8" x14ac:dyDescent="0.35">
      <c r="A34" s="2" t="s">
        <v>99</v>
      </c>
      <c r="B34" s="6">
        <v>32</v>
      </c>
      <c r="C34" s="6"/>
      <c r="D34" s="3">
        <v>10</v>
      </c>
      <c r="E34" s="3">
        <f>B34-D34</f>
        <v>22</v>
      </c>
      <c r="F34" s="3">
        <v>9</v>
      </c>
      <c r="G34" s="4">
        <v>8</v>
      </c>
      <c r="H34" s="10">
        <f t="shared" si="0"/>
        <v>0.28125</v>
      </c>
    </row>
    <row r="35" spans="1:8" x14ac:dyDescent="0.35">
      <c r="A35" s="5" t="s">
        <v>1</v>
      </c>
      <c r="B35" s="7">
        <f>SUM(B30:B34)</f>
        <v>147</v>
      </c>
      <c r="C35" s="7"/>
      <c r="D35" s="7">
        <f>SUM(D30:D34)</f>
        <v>39</v>
      </c>
      <c r="E35" s="7">
        <f>SUM(E30:E34)</f>
        <v>108</v>
      </c>
      <c r="F35" s="7">
        <f>SUM(F30:F34)</f>
        <v>20</v>
      </c>
      <c r="G35" s="7">
        <f>SUM(G30:G34)</f>
        <v>28</v>
      </c>
      <c r="H35" s="11">
        <f t="shared" si="0"/>
        <v>0.1360544217687075</v>
      </c>
    </row>
    <row r="36" spans="1:8" x14ac:dyDescent="0.35">
      <c r="A36" s="2" t="s">
        <v>100</v>
      </c>
      <c r="B36" s="6">
        <v>27</v>
      </c>
      <c r="C36" s="6"/>
      <c r="D36" s="3">
        <v>9</v>
      </c>
      <c r="E36" s="3">
        <f>B36-D36</f>
        <v>18</v>
      </c>
      <c r="F36" s="3">
        <v>2</v>
      </c>
      <c r="G36" s="4">
        <v>5</v>
      </c>
      <c r="H36" s="10">
        <f t="shared" si="0"/>
        <v>7.407407407407407E-2</v>
      </c>
    </row>
    <row r="37" spans="1:8" x14ac:dyDescent="0.35">
      <c r="A37" s="2" t="s">
        <v>101</v>
      </c>
      <c r="B37" s="6">
        <v>28</v>
      </c>
      <c r="C37" s="6"/>
      <c r="D37" s="3">
        <v>6</v>
      </c>
      <c r="E37" s="3">
        <f>B37-D37</f>
        <v>22</v>
      </c>
      <c r="F37" s="3">
        <v>0</v>
      </c>
      <c r="G37" s="4">
        <v>6</v>
      </c>
      <c r="H37" s="10">
        <f t="shared" si="0"/>
        <v>0</v>
      </c>
    </row>
    <row r="38" spans="1:8" x14ac:dyDescent="0.35">
      <c r="A38" s="2" t="s">
        <v>102</v>
      </c>
      <c r="B38" s="6">
        <v>32</v>
      </c>
      <c r="C38" s="6"/>
      <c r="D38" s="3">
        <v>5</v>
      </c>
      <c r="E38" s="3">
        <f>B38-D38</f>
        <v>27</v>
      </c>
      <c r="F38" s="3">
        <v>2</v>
      </c>
      <c r="G38" s="4">
        <v>3</v>
      </c>
      <c r="H38" s="10">
        <f t="shared" si="0"/>
        <v>6.25E-2</v>
      </c>
    </row>
    <row r="39" spans="1:8" x14ac:dyDescent="0.35">
      <c r="A39" s="2" t="s">
        <v>103</v>
      </c>
      <c r="B39" s="6">
        <v>19</v>
      </c>
      <c r="C39" s="6"/>
      <c r="D39" s="3">
        <v>5</v>
      </c>
      <c r="E39" s="3">
        <f>B39-D39</f>
        <v>14</v>
      </c>
      <c r="F39" s="3">
        <v>1</v>
      </c>
      <c r="G39" s="4">
        <v>4</v>
      </c>
      <c r="H39" s="10">
        <f t="shared" si="0"/>
        <v>5.2631578947368418E-2</v>
      </c>
    </row>
    <row r="40" spans="1:8" x14ac:dyDescent="0.35">
      <c r="A40" s="5" t="s">
        <v>1</v>
      </c>
      <c r="B40" s="7">
        <f>SUM(B36:B39)</f>
        <v>106</v>
      </c>
      <c r="C40" s="7"/>
      <c r="D40" s="7">
        <f>SUM(D36:D39)</f>
        <v>25</v>
      </c>
      <c r="E40" s="7">
        <f>SUM(E36:E39)</f>
        <v>81</v>
      </c>
      <c r="F40" s="7">
        <f>SUM(F36:F39)</f>
        <v>5</v>
      </c>
      <c r="G40" s="7">
        <f>SUM(G36:G39)</f>
        <v>18</v>
      </c>
      <c r="H40" s="11">
        <f t="shared" si="0"/>
        <v>4.716981132075472E-2</v>
      </c>
    </row>
    <row r="41" spans="1:8" x14ac:dyDescent="0.35">
      <c r="A41" s="2" t="s">
        <v>104</v>
      </c>
      <c r="B41" s="6">
        <v>9</v>
      </c>
      <c r="C41" s="6"/>
      <c r="D41" s="3">
        <f>SUM(F41:G41)</f>
        <v>8</v>
      </c>
      <c r="E41" s="3">
        <f t="shared" ref="E41:E46" si="2">B41-D41</f>
        <v>1</v>
      </c>
      <c r="F41" s="3">
        <v>6</v>
      </c>
      <c r="G41" s="4">
        <v>2</v>
      </c>
      <c r="H41" s="10">
        <f t="shared" si="0"/>
        <v>0.66666666666666663</v>
      </c>
    </row>
    <row r="42" spans="1:8" x14ac:dyDescent="0.35">
      <c r="A42" s="2" t="s">
        <v>105</v>
      </c>
      <c r="B42" s="6">
        <v>9</v>
      </c>
      <c r="C42" s="6"/>
      <c r="D42" s="3">
        <f>SUM(F42:G42)</f>
        <v>8</v>
      </c>
      <c r="E42" s="3">
        <f t="shared" si="2"/>
        <v>1</v>
      </c>
      <c r="F42" s="3">
        <v>3</v>
      </c>
      <c r="G42" s="4">
        <v>5</v>
      </c>
      <c r="H42" s="10">
        <f t="shared" si="0"/>
        <v>0.33333333333333331</v>
      </c>
    </row>
    <row r="43" spans="1:8" x14ac:dyDescent="0.35">
      <c r="A43" s="15" t="s">
        <v>106</v>
      </c>
      <c r="B43" s="16">
        <v>10</v>
      </c>
      <c r="C43" s="16"/>
      <c r="D43" s="17">
        <v>7</v>
      </c>
      <c r="E43" s="17">
        <f t="shared" si="2"/>
        <v>3</v>
      </c>
      <c r="F43" s="17">
        <v>9</v>
      </c>
      <c r="G43" s="16">
        <v>1</v>
      </c>
      <c r="H43" s="18">
        <f t="shared" si="0"/>
        <v>0.9</v>
      </c>
    </row>
    <row r="44" spans="1:8" x14ac:dyDescent="0.35">
      <c r="A44" s="15" t="s">
        <v>107</v>
      </c>
      <c r="B44" s="16">
        <v>11</v>
      </c>
      <c r="C44" s="16"/>
      <c r="D44" s="17">
        <f>SUM(F44:G44)</f>
        <v>11</v>
      </c>
      <c r="E44" s="17">
        <f t="shared" si="2"/>
        <v>0</v>
      </c>
      <c r="F44" s="17">
        <v>10</v>
      </c>
      <c r="G44" s="16">
        <v>1</v>
      </c>
      <c r="H44" s="18">
        <f t="shared" si="0"/>
        <v>0.90909090909090906</v>
      </c>
    </row>
    <row r="45" spans="1:8" x14ac:dyDescent="0.35">
      <c r="A45" s="2" t="s">
        <v>269</v>
      </c>
      <c r="B45" s="6">
        <v>11</v>
      </c>
      <c r="C45" s="6"/>
      <c r="D45" s="3">
        <f>SUM(F45:G45)</f>
        <v>6</v>
      </c>
      <c r="E45" s="3">
        <f t="shared" si="2"/>
        <v>5</v>
      </c>
      <c r="F45" s="3">
        <v>5</v>
      </c>
      <c r="G45" s="4">
        <v>1</v>
      </c>
      <c r="H45" s="10">
        <f t="shared" si="0"/>
        <v>0.45454545454545453</v>
      </c>
    </row>
    <row r="46" spans="1:8" x14ac:dyDescent="0.35">
      <c r="A46" s="2" t="s">
        <v>108</v>
      </c>
      <c r="B46" s="6">
        <v>10</v>
      </c>
      <c r="C46" s="6"/>
      <c r="D46" s="3">
        <f>SUM(F46:G46)</f>
        <v>7</v>
      </c>
      <c r="E46" s="3">
        <f t="shared" si="2"/>
        <v>3</v>
      </c>
      <c r="F46" s="3">
        <v>4</v>
      </c>
      <c r="G46" s="4">
        <v>3</v>
      </c>
      <c r="H46" s="10">
        <f t="shared" si="0"/>
        <v>0.4</v>
      </c>
    </row>
    <row r="47" spans="1:8" x14ac:dyDescent="0.35">
      <c r="A47" s="5" t="s">
        <v>1</v>
      </c>
      <c r="B47" s="7">
        <f>SUM(B41:B46)</f>
        <v>60</v>
      </c>
      <c r="C47" s="7"/>
      <c r="D47" s="7">
        <f>SUM(D41:D46)</f>
        <v>47</v>
      </c>
      <c r="E47" s="7">
        <f>SUM(E41:E46)</f>
        <v>13</v>
      </c>
      <c r="F47" s="7">
        <f>SUM(F41:F46)</f>
        <v>37</v>
      </c>
      <c r="G47" s="7">
        <f>SUM(G41:G46)</f>
        <v>13</v>
      </c>
      <c r="H47" s="11">
        <f t="shared" si="0"/>
        <v>0.6166666666666667</v>
      </c>
    </row>
    <row r="48" spans="1:8" x14ac:dyDescent="0.35">
      <c r="A48" s="12" t="s">
        <v>109</v>
      </c>
      <c r="B48" s="7">
        <f>SUM(B6,B12,B18,B25,B29,B35,B40,B47)</f>
        <v>710</v>
      </c>
      <c r="C48" s="7"/>
      <c r="D48" s="7">
        <f>SUM(D6,D12,D18,D25,D29,D35,D40,D47)</f>
        <v>209</v>
      </c>
      <c r="E48" s="7">
        <f>SUM(E6,E12,E18,E25,E29,E35,E40,E47)</f>
        <v>501</v>
      </c>
      <c r="F48" s="7">
        <f>SUM(F6,F12,F18,F25,F29,F35,F40,F47)</f>
        <v>127</v>
      </c>
      <c r="G48" s="7">
        <f>SUM(G6,G12,G18,G25,G29,G35,G40,G47)</f>
        <v>98</v>
      </c>
      <c r="H48" s="11">
        <f t="shared" si="0"/>
        <v>0.17887323943661973</v>
      </c>
    </row>
    <row r="49" spans="1:8" x14ac:dyDescent="0.35">
      <c r="A49" s="2" t="s">
        <v>110</v>
      </c>
      <c r="B49" s="6" t="s">
        <v>111</v>
      </c>
      <c r="C49" s="6">
        <v>14</v>
      </c>
      <c r="D49" s="3">
        <v>8</v>
      </c>
      <c r="E49" s="3">
        <f>C49-D49</f>
        <v>6</v>
      </c>
      <c r="F49" s="3">
        <v>5</v>
      </c>
      <c r="G49" s="4">
        <v>3</v>
      </c>
      <c r="H49" s="10">
        <f>F49/C49</f>
        <v>0.35714285714285715</v>
      </c>
    </row>
    <row r="50" spans="1:8" x14ac:dyDescent="0.35">
      <c r="A50" s="2" t="s">
        <v>112</v>
      </c>
      <c r="B50" s="6">
        <v>9</v>
      </c>
      <c r="C50" s="6"/>
      <c r="D50" s="3">
        <v>3</v>
      </c>
      <c r="E50" s="3">
        <f>B50-D50</f>
        <v>6</v>
      </c>
      <c r="F50" s="3">
        <v>1</v>
      </c>
      <c r="G50" s="4">
        <v>3</v>
      </c>
      <c r="H50" s="10">
        <f>F50/B50</f>
        <v>0.1111111111111111</v>
      </c>
    </row>
    <row r="51" spans="1:8" x14ac:dyDescent="0.35">
      <c r="A51" s="5" t="s">
        <v>1</v>
      </c>
      <c r="B51" s="7">
        <f>14+9</f>
        <v>23</v>
      </c>
      <c r="C51" s="7"/>
      <c r="D51" s="3">
        <f>SUM(F51:G51)</f>
        <v>12</v>
      </c>
      <c r="E51" s="3">
        <f>B51-D51</f>
        <v>11</v>
      </c>
      <c r="F51" s="7">
        <f>SUM(F49:F50)</f>
        <v>6</v>
      </c>
      <c r="G51" s="7">
        <f>SUM(G49:G50)</f>
        <v>6</v>
      </c>
      <c r="H51" s="11">
        <f>F51/B51</f>
        <v>0.2608695652173913</v>
      </c>
    </row>
    <row r="52" spans="1:8" x14ac:dyDescent="0.35">
      <c r="A52" s="2" t="s">
        <v>113</v>
      </c>
      <c r="B52" s="6">
        <v>12</v>
      </c>
      <c r="C52" s="6"/>
      <c r="D52" s="3">
        <v>6</v>
      </c>
      <c r="E52" s="3">
        <f>B52-D52</f>
        <v>6</v>
      </c>
      <c r="F52" s="3">
        <v>6</v>
      </c>
      <c r="G52" s="4">
        <v>2</v>
      </c>
      <c r="H52" s="10">
        <f>F52/B52</f>
        <v>0.5</v>
      </c>
    </row>
    <row r="53" spans="1:8" x14ac:dyDescent="0.35">
      <c r="A53" s="2" t="s">
        <v>114</v>
      </c>
      <c r="B53" s="6">
        <v>36</v>
      </c>
      <c r="C53" s="6"/>
      <c r="D53" s="3">
        <v>17</v>
      </c>
      <c r="E53" s="3">
        <f>B53-D53</f>
        <v>19</v>
      </c>
      <c r="F53" s="3">
        <v>18</v>
      </c>
      <c r="G53" s="4">
        <v>5</v>
      </c>
      <c r="H53" s="10">
        <f>F53/B53</f>
        <v>0.5</v>
      </c>
    </row>
    <row r="54" spans="1:8" x14ac:dyDescent="0.35">
      <c r="A54" s="2" t="s">
        <v>115</v>
      </c>
      <c r="B54" s="6" t="s">
        <v>116</v>
      </c>
      <c r="C54" s="6">
        <v>16</v>
      </c>
      <c r="D54" s="3">
        <v>4</v>
      </c>
      <c r="E54" s="3">
        <f>C54-D54</f>
        <v>12</v>
      </c>
      <c r="F54" s="3">
        <v>3</v>
      </c>
      <c r="G54" s="4">
        <v>1</v>
      </c>
      <c r="H54" s="10">
        <f>F54/C54</f>
        <v>0.1875</v>
      </c>
    </row>
    <row r="55" spans="1:8" x14ac:dyDescent="0.35">
      <c r="A55" s="15" t="s">
        <v>117</v>
      </c>
      <c r="B55" s="16">
        <v>10</v>
      </c>
      <c r="C55" s="16"/>
      <c r="D55" s="17">
        <v>7</v>
      </c>
      <c r="E55" s="17">
        <f t="shared" ref="E55:E69" si="3">B55-D55</f>
        <v>3</v>
      </c>
      <c r="F55" s="17">
        <v>9</v>
      </c>
      <c r="G55" s="16">
        <v>0</v>
      </c>
      <c r="H55" s="18">
        <f t="shared" ref="H55:H69" si="4">F55/B55</f>
        <v>0.9</v>
      </c>
    </row>
    <row r="56" spans="1:8" x14ac:dyDescent="0.35">
      <c r="A56" s="5" t="s">
        <v>1</v>
      </c>
      <c r="B56" s="7">
        <f>12+36+16+10</f>
        <v>74</v>
      </c>
      <c r="C56" s="7"/>
      <c r="D56" s="3">
        <f t="shared" ref="D56:D70" si="5">SUM(F56:G56)</f>
        <v>44</v>
      </c>
      <c r="E56" s="3">
        <f t="shared" si="3"/>
        <v>30</v>
      </c>
      <c r="F56" s="7">
        <f>SUM(F52:F55)</f>
        <v>36</v>
      </c>
      <c r="G56" s="7">
        <f>SUM(G52:G55)</f>
        <v>8</v>
      </c>
      <c r="H56" s="11">
        <f t="shared" si="4"/>
        <v>0.48648648648648651</v>
      </c>
    </row>
    <row r="57" spans="1:8" x14ac:dyDescent="0.35">
      <c r="A57" s="2" t="s">
        <v>118</v>
      </c>
      <c r="B57" s="6">
        <v>9</v>
      </c>
      <c r="C57" s="6"/>
      <c r="D57" s="3">
        <f t="shared" si="5"/>
        <v>6</v>
      </c>
      <c r="E57" s="3">
        <f t="shared" si="3"/>
        <v>3</v>
      </c>
      <c r="F57" s="3">
        <v>4</v>
      </c>
      <c r="G57" s="4">
        <v>2</v>
      </c>
      <c r="H57" s="10">
        <f t="shared" si="4"/>
        <v>0.44444444444444442</v>
      </c>
    </row>
    <row r="58" spans="1:8" x14ac:dyDescent="0.35">
      <c r="A58" s="2" t="s">
        <v>119</v>
      </c>
      <c r="B58" s="6">
        <v>17</v>
      </c>
      <c r="C58" s="6"/>
      <c r="D58" s="3">
        <f t="shared" si="5"/>
        <v>5</v>
      </c>
      <c r="E58" s="3">
        <f t="shared" si="3"/>
        <v>12</v>
      </c>
      <c r="F58" s="3">
        <v>2</v>
      </c>
      <c r="G58" s="4">
        <v>3</v>
      </c>
      <c r="H58" s="10">
        <f t="shared" si="4"/>
        <v>0.11764705882352941</v>
      </c>
    </row>
    <row r="59" spans="1:8" x14ac:dyDescent="0.35">
      <c r="A59" s="15" t="s">
        <v>120</v>
      </c>
      <c r="B59" s="16">
        <v>8</v>
      </c>
      <c r="C59" s="16"/>
      <c r="D59" s="17">
        <f t="shared" si="5"/>
        <v>7</v>
      </c>
      <c r="E59" s="17">
        <f t="shared" si="3"/>
        <v>1</v>
      </c>
      <c r="F59" s="17">
        <v>7</v>
      </c>
      <c r="G59" s="16">
        <v>0</v>
      </c>
      <c r="H59" s="18">
        <v>0.9</v>
      </c>
    </row>
    <row r="60" spans="1:8" x14ac:dyDescent="0.35">
      <c r="A60" s="2" t="s">
        <v>121</v>
      </c>
      <c r="B60" s="6">
        <v>35</v>
      </c>
      <c r="C60" s="6"/>
      <c r="D60" s="3">
        <f t="shared" si="5"/>
        <v>31</v>
      </c>
      <c r="E60" s="3">
        <f t="shared" si="3"/>
        <v>4</v>
      </c>
      <c r="F60" s="3">
        <v>25</v>
      </c>
      <c r="G60" s="4">
        <v>6</v>
      </c>
      <c r="H60" s="10">
        <f t="shared" si="4"/>
        <v>0.7142857142857143</v>
      </c>
    </row>
    <row r="61" spans="1:8" x14ac:dyDescent="0.35">
      <c r="A61" s="2" t="s">
        <v>122</v>
      </c>
      <c r="B61" s="6">
        <v>9</v>
      </c>
      <c r="C61" s="6"/>
      <c r="D61" s="3">
        <f t="shared" si="5"/>
        <v>7</v>
      </c>
      <c r="E61" s="3">
        <f t="shared" si="3"/>
        <v>2</v>
      </c>
      <c r="F61" s="3">
        <v>3</v>
      </c>
      <c r="G61" s="4">
        <v>4</v>
      </c>
      <c r="H61" s="10">
        <f t="shared" si="4"/>
        <v>0.33333333333333331</v>
      </c>
    </row>
    <row r="62" spans="1:8" x14ac:dyDescent="0.35">
      <c r="A62" s="2" t="s">
        <v>123</v>
      </c>
      <c r="B62" s="6">
        <v>20</v>
      </c>
      <c r="C62" s="6"/>
      <c r="D62" s="3">
        <f t="shared" si="5"/>
        <v>14</v>
      </c>
      <c r="E62" s="3">
        <f t="shared" si="3"/>
        <v>6</v>
      </c>
      <c r="F62" s="3">
        <v>12</v>
      </c>
      <c r="G62" s="4">
        <v>2</v>
      </c>
      <c r="H62" s="10">
        <f t="shared" si="4"/>
        <v>0.6</v>
      </c>
    </row>
    <row r="63" spans="1:8" x14ac:dyDescent="0.35">
      <c r="A63" s="5" t="s">
        <v>1</v>
      </c>
      <c r="B63" s="7">
        <f>SUM(B57:B62)</f>
        <v>98</v>
      </c>
      <c r="C63" s="7"/>
      <c r="D63" s="3">
        <f t="shared" si="5"/>
        <v>70</v>
      </c>
      <c r="E63" s="3">
        <f t="shared" si="3"/>
        <v>28</v>
      </c>
      <c r="F63" s="7">
        <f>SUM(F57:F62)</f>
        <v>53</v>
      </c>
      <c r="G63" s="7">
        <f>SUM(G57:G62)</f>
        <v>17</v>
      </c>
      <c r="H63" s="11">
        <f t="shared" si="4"/>
        <v>0.54081632653061229</v>
      </c>
    </row>
    <row r="64" spans="1:8" x14ac:dyDescent="0.35">
      <c r="A64" s="2" t="s">
        <v>124</v>
      </c>
      <c r="B64" s="6">
        <v>22</v>
      </c>
      <c r="C64" s="6"/>
      <c r="D64" s="3">
        <f t="shared" si="5"/>
        <v>13</v>
      </c>
      <c r="E64" s="3">
        <f t="shared" si="3"/>
        <v>9</v>
      </c>
      <c r="F64" s="3">
        <v>8</v>
      </c>
      <c r="G64" s="4">
        <v>5</v>
      </c>
      <c r="H64" s="10">
        <f t="shared" si="4"/>
        <v>0.36363636363636365</v>
      </c>
    </row>
    <row r="65" spans="1:8" x14ac:dyDescent="0.35">
      <c r="A65" s="2" t="s">
        <v>125</v>
      </c>
      <c r="B65" s="6">
        <v>9</v>
      </c>
      <c r="C65" s="6"/>
      <c r="D65" s="3">
        <f t="shared" si="5"/>
        <v>5</v>
      </c>
      <c r="E65" s="3">
        <f t="shared" si="3"/>
        <v>4</v>
      </c>
      <c r="F65" s="3">
        <v>3</v>
      </c>
      <c r="G65" s="4">
        <v>2</v>
      </c>
      <c r="H65" s="10">
        <f t="shared" si="4"/>
        <v>0.33333333333333331</v>
      </c>
    </row>
    <row r="66" spans="1:8" x14ac:dyDescent="0.35">
      <c r="A66" s="15" t="s">
        <v>126</v>
      </c>
      <c r="B66" s="16">
        <v>23</v>
      </c>
      <c r="C66" s="6"/>
      <c r="D66" s="3">
        <f>SUM(F66:G66)</f>
        <v>21</v>
      </c>
      <c r="E66" s="3">
        <f>B66-D66</f>
        <v>2</v>
      </c>
      <c r="F66" s="17">
        <v>20</v>
      </c>
      <c r="G66" s="16">
        <v>1</v>
      </c>
      <c r="H66" s="18">
        <v>0.9</v>
      </c>
    </row>
    <row r="67" spans="1:8" x14ac:dyDescent="0.35">
      <c r="A67" s="2" t="s">
        <v>127</v>
      </c>
      <c r="B67" s="6">
        <v>19</v>
      </c>
      <c r="C67" s="6"/>
      <c r="D67" s="3">
        <f t="shared" si="5"/>
        <v>8</v>
      </c>
      <c r="E67" s="3">
        <f t="shared" si="3"/>
        <v>11</v>
      </c>
      <c r="F67" s="3">
        <v>6</v>
      </c>
      <c r="G67" s="4">
        <v>2</v>
      </c>
      <c r="H67" s="10">
        <f t="shared" si="4"/>
        <v>0.31578947368421051</v>
      </c>
    </row>
    <row r="68" spans="1:8" x14ac:dyDescent="0.35">
      <c r="A68" s="5" t="s">
        <v>1</v>
      </c>
      <c r="B68" s="7">
        <f>SUM(B64:B67)</f>
        <v>73</v>
      </c>
      <c r="C68" s="7"/>
      <c r="D68" s="3">
        <f t="shared" si="5"/>
        <v>47</v>
      </c>
      <c r="E68" s="3">
        <f t="shared" si="3"/>
        <v>26</v>
      </c>
      <c r="F68" s="7">
        <f>SUM(F64:F67)</f>
        <v>37</v>
      </c>
      <c r="G68" s="7">
        <f>SUM(G64:G67)</f>
        <v>10</v>
      </c>
      <c r="H68" s="11">
        <f t="shared" si="4"/>
        <v>0.50684931506849318</v>
      </c>
    </row>
    <row r="69" spans="1:8" x14ac:dyDescent="0.35">
      <c r="A69" s="13" t="s">
        <v>128</v>
      </c>
      <c r="B69" s="4">
        <v>32</v>
      </c>
      <c r="C69" s="4"/>
      <c r="D69" s="3">
        <f t="shared" si="5"/>
        <v>22</v>
      </c>
      <c r="E69" s="3">
        <f t="shared" si="3"/>
        <v>10</v>
      </c>
      <c r="F69" s="3">
        <v>19</v>
      </c>
      <c r="G69" s="4">
        <v>3</v>
      </c>
      <c r="H69" s="10">
        <f t="shared" si="4"/>
        <v>0.59375</v>
      </c>
    </row>
    <row r="70" spans="1:8" x14ac:dyDescent="0.35">
      <c r="A70" s="15" t="s">
        <v>129</v>
      </c>
      <c r="B70" s="16" t="s">
        <v>130</v>
      </c>
      <c r="C70" s="16">
        <v>19</v>
      </c>
      <c r="D70" s="17">
        <f t="shared" si="5"/>
        <v>19</v>
      </c>
      <c r="E70" s="17">
        <f>C70-D70</f>
        <v>0</v>
      </c>
      <c r="F70" s="17">
        <v>18</v>
      </c>
      <c r="G70" s="16">
        <v>1</v>
      </c>
      <c r="H70" s="18">
        <v>0.9</v>
      </c>
    </row>
    <row r="71" spans="1:8" x14ac:dyDescent="0.35">
      <c r="A71" s="5" t="s">
        <v>1</v>
      </c>
      <c r="B71" s="7">
        <f>32+19</f>
        <v>51</v>
      </c>
      <c r="C71" s="7"/>
      <c r="D71" s="3">
        <f>SUM(F71:G71)</f>
        <v>41</v>
      </c>
      <c r="E71" s="3">
        <f>B71-D71</f>
        <v>10</v>
      </c>
      <c r="F71" s="7">
        <f>SUM(F69:F70)</f>
        <v>37</v>
      </c>
      <c r="G71" s="7">
        <f>SUM(G69:G70)</f>
        <v>4</v>
      </c>
      <c r="H71" s="11">
        <f>F71/B71</f>
        <v>0.72549019607843135</v>
      </c>
    </row>
    <row r="72" spans="1:8" x14ac:dyDescent="0.35">
      <c r="A72" s="5" t="s">
        <v>131</v>
      </c>
      <c r="B72" s="7">
        <f>SUM(B51,B56,B63,B68,B71)</f>
        <v>319</v>
      </c>
      <c r="C72" s="7"/>
      <c r="D72" s="7">
        <f>SUM(D51,D56,D63,D68,D71)</f>
        <v>214</v>
      </c>
      <c r="E72" s="7">
        <f>SUM(E51,E56,E63,E68,E71)</f>
        <v>105</v>
      </c>
      <c r="F72" s="7">
        <f>SUM(F51,F56,F63,F68,F71)</f>
        <v>169</v>
      </c>
      <c r="G72" s="7">
        <f>SUM(G51,G56,G63,G68,G71)</f>
        <v>45</v>
      </c>
      <c r="H72" s="11">
        <f t="shared" ref="H72:H81" si="6">F72/B72</f>
        <v>0.52978056426332287</v>
      </c>
    </row>
    <row r="73" spans="1:8" x14ac:dyDescent="0.35">
      <c r="A73" s="2" t="s">
        <v>2</v>
      </c>
      <c r="B73" s="6">
        <v>15</v>
      </c>
      <c r="C73" s="6"/>
      <c r="D73" s="3">
        <f t="shared" ref="D73:D104" si="7">SUM(F73:G73)</f>
        <v>9</v>
      </c>
      <c r="E73" s="3">
        <f t="shared" ref="E73:E98" si="8">B73-D73</f>
        <v>6</v>
      </c>
      <c r="F73" s="3">
        <v>8</v>
      </c>
      <c r="G73" s="4">
        <v>1</v>
      </c>
      <c r="H73" s="10">
        <f t="shared" si="6"/>
        <v>0.53333333333333333</v>
      </c>
    </row>
    <row r="74" spans="1:8" x14ac:dyDescent="0.35">
      <c r="A74" s="15" t="s">
        <v>3</v>
      </c>
      <c r="B74" s="16">
        <v>45</v>
      </c>
      <c r="C74" s="16"/>
      <c r="D74" s="17">
        <f t="shared" si="7"/>
        <v>44</v>
      </c>
      <c r="E74" s="17">
        <f t="shared" si="8"/>
        <v>1</v>
      </c>
      <c r="F74" s="17">
        <v>43</v>
      </c>
      <c r="G74" s="16">
        <v>1</v>
      </c>
      <c r="H74" s="18">
        <f t="shared" si="6"/>
        <v>0.9555555555555556</v>
      </c>
    </row>
    <row r="75" spans="1:8" x14ac:dyDescent="0.35">
      <c r="A75" s="15" t="s">
        <v>4</v>
      </c>
      <c r="B75" s="16">
        <v>13</v>
      </c>
      <c r="C75" s="6"/>
      <c r="D75" s="3">
        <f t="shared" si="7"/>
        <v>13</v>
      </c>
      <c r="E75" s="3">
        <f t="shared" si="8"/>
        <v>0</v>
      </c>
      <c r="F75" s="17">
        <v>12</v>
      </c>
      <c r="G75" s="16">
        <v>1</v>
      </c>
      <c r="H75" s="18">
        <f t="shared" si="6"/>
        <v>0.92307692307692313</v>
      </c>
    </row>
    <row r="76" spans="1:8" x14ac:dyDescent="0.35">
      <c r="A76" s="5" t="s">
        <v>1</v>
      </c>
      <c r="B76" s="7">
        <f>SUM(B73:B75)</f>
        <v>73</v>
      </c>
      <c r="C76" s="7"/>
      <c r="D76" s="3">
        <f t="shared" si="7"/>
        <v>66</v>
      </c>
      <c r="E76" s="3">
        <f t="shared" si="8"/>
        <v>7</v>
      </c>
      <c r="F76" s="7">
        <f>SUM(F73:F75)</f>
        <v>63</v>
      </c>
      <c r="G76" s="7">
        <f>SUM(G73:G75)</f>
        <v>3</v>
      </c>
      <c r="H76" s="11">
        <f t="shared" si="6"/>
        <v>0.86301369863013699</v>
      </c>
    </row>
    <row r="77" spans="1:8" x14ac:dyDescent="0.35">
      <c r="A77" s="15" t="s">
        <v>5</v>
      </c>
      <c r="B77" s="16">
        <v>35</v>
      </c>
      <c r="C77" s="6"/>
      <c r="D77" s="3">
        <f t="shared" si="7"/>
        <v>33</v>
      </c>
      <c r="E77" s="3">
        <f t="shared" si="8"/>
        <v>2</v>
      </c>
      <c r="F77" s="17">
        <v>32</v>
      </c>
      <c r="G77" s="16">
        <v>1</v>
      </c>
      <c r="H77" s="18">
        <f t="shared" si="6"/>
        <v>0.91428571428571426</v>
      </c>
    </row>
    <row r="78" spans="1:8" x14ac:dyDescent="0.35">
      <c r="A78" s="15" t="s">
        <v>6</v>
      </c>
      <c r="B78" s="16">
        <v>28</v>
      </c>
      <c r="C78" s="16"/>
      <c r="D78" s="17">
        <f t="shared" si="7"/>
        <v>28</v>
      </c>
      <c r="E78" s="17">
        <f t="shared" si="8"/>
        <v>0</v>
      </c>
      <c r="F78" s="17">
        <v>26</v>
      </c>
      <c r="G78" s="16">
        <v>2</v>
      </c>
      <c r="H78" s="18">
        <f t="shared" si="6"/>
        <v>0.9285714285714286</v>
      </c>
    </row>
    <row r="79" spans="1:8" x14ac:dyDescent="0.35">
      <c r="A79" s="2" t="s">
        <v>7</v>
      </c>
      <c r="B79" s="6">
        <v>39</v>
      </c>
      <c r="C79" s="6"/>
      <c r="D79" s="3">
        <f t="shared" si="7"/>
        <v>35</v>
      </c>
      <c r="E79" s="3">
        <f t="shared" si="8"/>
        <v>4</v>
      </c>
      <c r="F79" s="3">
        <v>32</v>
      </c>
      <c r="G79" s="4">
        <v>3</v>
      </c>
      <c r="H79" s="10">
        <f t="shared" si="6"/>
        <v>0.82051282051282048</v>
      </c>
    </row>
    <row r="80" spans="1:8" x14ac:dyDescent="0.35">
      <c r="A80" s="5" t="s">
        <v>1</v>
      </c>
      <c r="B80" s="7">
        <f>SUM(B77:B79)</f>
        <v>102</v>
      </c>
      <c r="C80" s="7"/>
      <c r="D80" s="3">
        <f t="shared" si="7"/>
        <v>96</v>
      </c>
      <c r="E80" s="3">
        <f t="shared" si="8"/>
        <v>6</v>
      </c>
      <c r="F80" s="7">
        <f>SUM(F77:F79)</f>
        <v>90</v>
      </c>
      <c r="G80" s="7">
        <f>SUM(G77:G79)</f>
        <v>6</v>
      </c>
      <c r="H80" s="11">
        <f t="shared" si="6"/>
        <v>0.88235294117647056</v>
      </c>
    </row>
    <row r="81" spans="1:8" x14ac:dyDescent="0.35">
      <c r="A81" s="15" t="s">
        <v>8</v>
      </c>
      <c r="B81" s="16">
        <v>12</v>
      </c>
      <c r="C81" s="16"/>
      <c r="D81" s="3">
        <f t="shared" si="7"/>
        <v>11</v>
      </c>
      <c r="E81" s="3">
        <f t="shared" si="8"/>
        <v>1</v>
      </c>
      <c r="F81" s="17">
        <v>11</v>
      </c>
      <c r="G81" s="16">
        <v>0</v>
      </c>
      <c r="H81" s="18">
        <f t="shared" si="6"/>
        <v>0.91666666666666663</v>
      </c>
    </row>
    <row r="82" spans="1:8" x14ac:dyDescent="0.35">
      <c r="A82" s="15" t="s">
        <v>9</v>
      </c>
      <c r="B82" s="16">
        <v>19</v>
      </c>
      <c r="C82" s="16"/>
      <c r="D82" s="3">
        <f t="shared" si="7"/>
        <v>17</v>
      </c>
      <c r="E82" s="3">
        <f t="shared" si="8"/>
        <v>2</v>
      </c>
      <c r="F82" s="17">
        <v>17</v>
      </c>
      <c r="G82" s="16">
        <v>0</v>
      </c>
      <c r="H82" s="18">
        <v>0.9</v>
      </c>
    </row>
    <row r="83" spans="1:8" x14ac:dyDescent="0.35">
      <c r="A83" s="15" t="s">
        <v>10</v>
      </c>
      <c r="B83" s="16">
        <v>21</v>
      </c>
      <c r="C83" s="6"/>
      <c r="D83" s="3">
        <f t="shared" si="7"/>
        <v>20</v>
      </c>
      <c r="E83" s="3">
        <f t="shared" si="8"/>
        <v>1</v>
      </c>
      <c r="F83" s="17">
        <v>20</v>
      </c>
      <c r="G83" s="16">
        <v>0</v>
      </c>
      <c r="H83" s="18">
        <f t="shared" ref="H83:H98" si="9">F83/B83</f>
        <v>0.95238095238095233</v>
      </c>
    </row>
    <row r="84" spans="1:8" x14ac:dyDescent="0.35">
      <c r="A84" s="15" t="s">
        <v>11</v>
      </c>
      <c r="B84" s="16">
        <v>26</v>
      </c>
      <c r="C84" s="16"/>
      <c r="D84" s="17">
        <f t="shared" si="7"/>
        <v>26</v>
      </c>
      <c r="E84" s="17">
        <f t="shared" si="8"/>
        <v>0</v>
      </c>
      <c r="F84" s="17">
        <v>24</v>
      </c>
      <c r="G84" s="16">
        <v>2</v>
      </c>
      <c r="H84" s="18">
        <f t="shared" si="9"/>
        <v>0.92307692307692313</v>
      </c>
    </row>
    <row r="85" spans="1:8" x14ac:dyDescent="0.35">
      <c r="A85" s="15" t="s">
        <v>12</v>
      </c>
      <c r="B85" s="16">
        <v>34</v>
      </c>
      <c r="C85" s="16"/>
      <c r="D85" s="3">
        <f t="shared" si="7"/>
        <v>32</v>
      </c>
      <c r="E85" s="3">
        <f t="shared" si="8"/>
        <v>2</v>
      </c>
      <c r="F85" s="17">
        <v>31</v>
      </c>
      <c r="G85" s="16">
        <v>1</v>
      </c>
      <c r="H85" s="18">
        <f t="shared" si="9"/>
        <v>0.91176470588235292</v>
      </c>
    </row>
    <row r="86" spans="1:8" x14ac:dyDescent="0.35">
      <c r="A86" s="5" t="s">
        <v>1</v>
      </c>
      <c r="B86" s="7">
        <f>SUM(B81:B85)</f>
        <v>112</v>
      </c>
      <c r="C86" s="7"/>
      <c r="D86" s="3">
        <f t="shared" si="7"/>
        <v>106</v>
      </c>
      <c r="E86" s="3">
        <f t="shared" si="8"/>
        <v>6</v>
      </c>
      <c r="F86" s="7">
        <f>SUM(F81:F85)</f>
        <v>103</v>
      </c>
      <c r="G86" s="7">
        <f>SUM(G81:G85)</f>
        <v>3</v>
      </c>
      <c r="H86" s="11">
        <f t="shared" si="9"/>
        <v>0.9196428571428571</v>
      </c>
    </row>
    <row r="87" spans="1:8" x14ac:dyDescent="0.35">
      <c r="A87" s="15" t="s">
        <v>13</v>
      </c>
      <c r="B87" s="16">
        <v>15</v>
      </c>
      <c r="C87" s="16"/>
      <c r="D87" s="3">
        <f t="shared" si="7"/>
        <v>15</v>
      </c>
      <c r="E87" s="3">
        <f t="shared" si="8"/>
        <v>0</v>
      </c>
      <c r="F87" s="17">
        <v>15</v>
      </c>
      <c r="G87" s="16">
        <v>0</v>
      </c>
      <c r="H87" s="18">
        <f t="shared" si="9"/>
        <v>1</v>
      </c>
    </row>
    <row r="88" spans="1:8" x14ac:dyDescent="0.35">
      <c r="A88" s="2" t="s">
        <v>14</v>
      </c>
      <c r="B88" s="6">
        <v>12</v>
      </c>
      <c r="C88" s="6"/>
      <c r="D88" s="3">
        <f t="shared" si="7"/>
        <v>12</v>
      </c>
      <c r="E88" s="3">
        <f t="shared" si="8"/>
        <v>0</v>
      </c>
      <c r="F88" s="3">
        <v>9</v>
      </c>
      <c r="G88" s="4">
        <v>3</v>
      </c>
      <c r="H88" s="10">
        <f t="shared" si="9"/>
        <v>0.75</v>
      </c>
    </row>
    <row r="89" spans="1:8" x14ac:dyDescent="0.35">
      <c r="A89" s="2" t="s">
        <v>15</v>
      </c>
      <c r="B89" s="6">
        <v>18</v>
      </c>
      <c r="C89" s="6"/>
      <c r="D89" s="3">
        <f t="shared" si="7"/>
        <v>18</v>
      </c>
      <c r="E89" s="3">
        <f t="shared" si="8"/>
        <v>0</v>
      </c>
      <c r="F89" s="3">
        <v>14</v>
      </c>
      <c r="G89" s="4">
        <v>4</v>
      </c>
      <c r="H89" s="10">
        <f t="shared" si="9"/>
        <v>0.77777777777777779</v>
      </c>
    </row>
    <row r="90" spans="1:8" x14ac:dyDescent="0.35">
      <c r="A90" s="15" t="s">
        <v>16</v>
      </c>
      <c r="B90" s="16">
        <v>38</v>
      </c>
      <c r="C90" s="6"/>
      <c r="D90" s="3">
        <f t="shared" si="7"/>
        <v>38</v>
      </c>
      <c r="E90" s="3">
        <f t="shared" si="8"/>
        <v>0</v>
      </c>
      <c r="F90" s="17">
        <v>36</v>
      </c>
      <c r="G90" s="16">
        <v>2</v>
      </c>
      <c r="H90" s="18">
        <f t="shared" si="9"/>
        <v>0.94736842105263153</v>
      </c>
    </row>
    <row r="91" spans="1:8" x14ac:dyDescent="0.35">
      <c r="A91" s="15" t="s">
        <v>17</v>
      </c>
      <c r="B91" s="16">
        <v>16</v>
      </c>
      <c r="C91" s="16"/>
      <c r="D91" s="17">
        <f t="shared" si="7"/>
        <v>16</v>
      </c>
      <c r="E91" s="17">
        <f t="shared" si="8"/>
        <v>0</v>
      </c>
      <c r="F91" s="17">
        <v>15</v>
      </c>
      <c r="G91" s="16">
        <v>1</v>
      </c>
      <c r="H91" s="18">
        <f t="shared" si="9"/>
        <v>0.9375</v>
      </c>
    </row>
    <row r="92" spans="1:8" x14ac:dyDescent="0.35">
      <c r="A92" s="2" t="s">
        <v>18</v>
      </c>
      <c r="B92" s="6">
        <v>19</v>
      </c>
      <c r="C92" s="6"/>
      <c r="D92" s="3">
        <f t="shared" si="7"/>
        <v>18</v>
      </c>
      <c r="E92" s="3">
        <f t="shared" si="8"/>
        <v>1</v>
      </c>
      <c r="F92" s="3">
        <v>16</v>
      </c>
      <c r="G92" s="4">
        <v>2</v>
      </c>
      <c r="H92" s="10">
        <f t="shared" si="9"/>
        <v>0.84210526315789469</v>
      </c>
    </row>
    <row r="93" spans="1:8" x14ac:dyDescent="0.35">
      <c r="A93" s="2" t="s">
        <v>19</v>
      </c>
      <c r="B93" s="6">
        <v>17</v>
      </c>
      <c r="C93" s="6"/>
      <c r="D93" s="3">
        <f t="shared" si="7"/>
        <v>17</v>
      </c>
      <c r="E93" s="3">
        <f t="shared" si="8"/>
        <v>0</v>
      </c>
      <c r="F93" s="3">
        <v>14</v>
      </c>
      <c r="G93" s="4">
        <v>3</v>
      </c>
      <c r="H93" s="10">
        <f t="shared" si="9"/>
        <v>0.82352941176470584</v>
      </c>
    </row>
    <row r="94" spans="1:8" x14ac:dyDescent="0.35">
      <c r="A94" s="5" t="s">
        <v>1</v>
      </c>
      <c r="B94" s="7">
        <f>SUM(B87:B93)</f>
        <v>135</v>
      </c>
      <c r="C94" s="7"/>
      <c r="D94" s="3">
        <f t="shared" si="7"/>
        <v>134</v>
      </c>
      <c r="E94" s="3">
        <f t="shared" si="8"/>
        <v>1</v>
      </c>
      <c r="F94" s="7">
        <f>SUM(F87:F93)</f>
        <v>119</v>
      </c>
      <c r="G94" s="7">
        <f>SUM(G87:G93)</f>
        <v>15</v>
      </c>
      <c r="H94" s="11">
        <f t="shared" si="9"/>
        <v>0.88148148148148153</v>
      </c>
    </row>
    <row r="95" spans="1:8" x14ac:dyDescent="0.35">
      <c r="A95" s="15" t="s">
        <v>20</v>
      </c>
      <c r="B95" s="16">
        <v>28</v>
      </c>
      <c r="C95" s="16"/>
      <c r="D95" s="3">
        <f t="shared" si="7"/>
        <v>27</v>
      </c>
      <c r="E95" s="3">
        <f t="shared" si="8"/>
        <v>1</v>
      </c>
      <c r="F95" s="17">
        <v>26</v>
      </c>
      <c r="G95" s="16">
        <v>1</v>
      </c>
      <c r="H95" s="18">
        <f t="shared" si="9"/>
        <v>0.9285714285714286</v>
      </c>
    </row>
    <row r="96" spans="1:8" x14ac:dyDescent="0.35">
      <c r="A96" s="15" t="s">
        <v>21</v>
      </c>
      <c r="B96" s="16">
        <v>12</v>
      </c>
      <c r="C96" s="6"/>
      <c r="D96" s="3">
        <f t="shared" si="7"/>
        <v>12</v>
      </c>
      <c r="E96" s="3">
        <f t="shared" si="8"/>
        <v>0</v>
      </c>
      <c r="F96" s="17">
        <v>12</v>
      </c>
      <c r="G96" s="16">
        <v>0</v>
      </c>
      <c r="H96" s="18">
        <f t="shared" si="9"/>
        <v>1</v>
      </c>
    </row>
    <row r="97" spans="1:8" x14ac:dyDescent="0.35">
      <c r="A97" s="15" t="s">
        <v>22</v>
      </c>
      <c r="B97" s="16">
        <v>24</v>
      </c>
      <c r="C97" s="16"/>
      <c r="D97" s="3">
        <f t="shared" si="7"/>
        <v>24</v>
      </c>
      <c r="E97" s="3">
        <f t="shared" si="8"/>
        <v>0</v>
      </c>
      <c r="F97" s="17">
        <v>24</v>
      </c>
      <c r="G97" s="16">
        <v>0</v>
      </c>
      <c r="H97" s="18">
        <f t="shared" si="9"/>
        <v>1</v>
      </c>
    </row>
    <row r="98" spans="1:8" s="20" customFormat="1" x14ac:dyDescent="0.35">
      <c r="A98" s="15" t="s">
        <v>23</v>
      </c>
      <c r="B98" s="16">
        <v>12</v>
      </c>
      <c r="C98" s="16"/>
      <c r="D98" s="17">
        <f t="shared" si="7"/>
        <v>11</v>
      </c>
      <c r="E98" s="17">
        <f t="shared" si="8"/>
        <v>1</v>
      </c>
      <c r="F98" s="17">
        <v>11</v>
      </c>
      <c r="G98" s="16">
        <v>0</v>
      </c>
      <c r="H98" s="18">
        <f t="shared" si="9"/>
        <v>0.91666666666666663</v>
      </c>
    </row>
    <row r="99" spans="1:8" x14ac:dyDescent="0.35">
      <c r="A99" s="15" t="s">
        <v>24</v>
      </c>
      <c r="B99" s="16" t="s">
        <v>132</v>
      </c>
      <c r="C99" s="16">
        <v>31</v>
      </c>
      <c r="D99" s="17">
        <f t="shared" si="7"/>
        <v>28</v>
      </c>
      <c r="E99" s="17">
        <f>C99-D99</f>
        <v>3</v>
      </c>
      <c r="F99" s="17">
        <v>28</v>
      </c>
      <c r="G99" s="16">
        <v>0</v>
      </c>
      <c r="H99" s="18">
        <f>F99/C99</f>
        <v>0.90322580645161288</v>
      </c>
    </row>
    <row r="100" spans="1:8" x14ac:dyDescent="0.35">
      <c r="A100" s="5" t="s">
        <v>1</v>
      </c>
      <c r="B100" s="7">
        <f>SUM(B95:B98)+31</f>
        <v>107</v>
      </c>
      <c r="C100" s="7"/>
      <c r="D100" s="3">
        <f t="shared" si="7"/>
        <v>102</v>
      </c>
      <c r="E100" s="3">
        <f t="shared" ref="E100:E109" si="10">B100-D100</f>
        <v>5</v>
      </c>
      <c r="F100" s="7">
        <f>SUM(F95:F99)</f>
        <v>101</v>
      </c>
      <c r="G100" s="7">
        <f>SUM(G95:G99)</f>
        <v>1</v>
      </c>
      <c r="H100" s="11">
        <f t="shared" ref="H100:H109" si="11">F100/B100</f>
        <v>0.94392523364485981</v>
      </c>
    </row>
    <row r="101" spans="1:8" x14ac:dyDescent="0.35">
      <c r="A101" s="5" t="s">
        <v>25</v>
      </c>
      <c r="B101" s="7">
        <f>SUM(B76,B80,B86,B94,B100)</f>
        <v>529</v>
      </c>
      <c r="C101" s="7"/>
      <c r="D101" s="3">
        <f t="shared" si="7"/>
        <v>504</v>
      </c>
      <c r="E101" s="3">
        <f t="shared" si="10"/>
        <v>25</v>
      </c>
      <c r="F101" s="7">
        <f>SUM(F76,F80,F86,F94,F100)</f>
        <v>476</v>
      </c>
      <c r="G101" s="7">
        <f>SUM(G76,G80,G86,G94,G100)</f>
        <v>28</v>
      </c>
      <c r="H101" s="11">
        <f t="shared" si="11"/>
        <v>0.89981096408317585</v>
      </c>
    </row>
    <row r="102" spans="1:8" x14ac:dyDescent="0.35">
      <c r="A102" s="2" t="s">
        <v>133</v>
      </c>
      <c r="B102" s="6">
        <v>12</v>
      </c>
      <c r="C102" s="6"/>
      <c r="D102" s="3">
        <f t="shared" si="7"/>
        <v>0</v>
      </c>
      <c r="E102" s="3">
        <f t="shared" si="10"/>
        <v>12</v>
      </c>
      <c r="F102" s="3">
        <v>0</v>
      </c>
      <c r="G102" s="4">
        <v>0</v>
      </c>
      <c r="H102" s="10">
        <f t="shared" si="11"/>
        <v>0</v>
      </c>
    </row>
    <row r="103" spans="1:8" x14ac:dyDescent="0.35">
      <c r="A103" s="2" t="s">
        <v>134</v>
      </c>
      <c r="B103" s="6">
        <v>11</v>
      </c>
      <c r="C103" s="6"/>
      <c r="D103" s="3">
        <f t="shared" si="7"/>
        <v>2</v>
      </c>
      <c r="E103" s="3">
        <f t="shared" si="10"/>
        <v>9</v>
      </c>
      <c r="F103" s="3">
        <v>1</v>
      </c>
      <c r="G103" s="4">
        <v>1</v>
      </c>
      <c r="H103" s="10">
        <f t="shared" si="11"/>
        <v>9.0909090909090912E-2</v>
      </c>
    </row>
    <row r="104" spans="1:8" x14ac:dyDescent="0.35">
      <c r="A104" s="2" t="s">
        <v>135</v>
      </c>
      <c r="B104" s="6">
        <v>12</v>
      </c>
      <c r="C104" s="6"/>
      <c r="D104" s="3">
        <f t="shared" si="7"/>
        <v>2</v>
      </c>
      <c r="E104" s="3">
        <f t="shared" si="10"/>
        <v>10</v>
      </c>
      <c r="F104" s="3">
        <v>1</v>
      </c>
      <c r="G104" s="4">
        <v>1</v>
      </c>
      <c r="H104" s="10">
        <f t="shared" si="11"/>
        <v>8.3333333333333329E-2</v>
      </c>
    </row>
    <row r="105" spans="1:8" x14ac:dyDescent="0.35">
      <c r="A105" s="2" t="s">
        <v>136</v>
      </c>
      <c r="B105" s="6">
        <v>12</v>
      </c>
      <c r="C105" s="6"/>
      <c r="D105" s="3">
        <f t="shared" ref="D105:D136" si="12">SUM(F105:G105)</f>
        <v>2</v>
      </c>
      <c r="E105" s="3">
        <f t="shared" si="10"/>
        <v>10</v>
      </c>
      <c r="F105" s="3">
        <v>0</v>
      </c>
      <c r="G105" s="4">
        <v>2</v>
      </c>
      <c r="H105" s="10">
        <f t="shared" si="11"/>
        <v>0</v>
      </c>
    </row>
    <row r="106" spans="1:8" x14ac:dyDescent="0.35">
      <c r="A106" s="2" t="s">
        <v>137</v>
      </c>
      <c r="B106" s="6">
        <v>16</v>
      </c>
      <c r="C106" s="6"/>
      <c r="D106" s="3">
        <f t="shared" si="12"/>
        <v>4</v>
      </c>
      <c r="E106" s="3">
        <f t="shared" si="10"/>
        <v>12</v>
      </c>
      <c r="F106" s="3">
        <v>3</v>
      </c>
      <c r="G106" s="4">
        <v>1</v>
      </c>
      <c r="H106" s="10">
        <f t="shared" si="11"/>
        <v>0.1875</v>
      </c>
    </row>
    <row r="107" spans="1:8" x14ac:dyDescent="0.35">
      <c r="A107" s="2" t="s">
        <v>138</v>
      </c>
      <c r="B107" s="6">
        <v>10</v>
      </c>
      <c r="C107" s="6"/>
      <c r="D107" s="3">
        <f t="shared" si="12"/>
        <v>6</v>
      </c>
      <c r="E107" s="3">
        <f t="shared" si="10"/>
        <v>4</v>
      </c>
      <c r="F107" s="3">
        <v>3</v>
      </c>
      <c r="G107" s="4">
        <v>3</v>
      </c>
      <c r="H107" s="10">
        <f t="shared" si="11"/>
        <v>0.3</v>
      </c>
    </row>
    <row r="108" spans="1:8" x14ac:dyDescent="0.35">
      <c r="A108" s="2" t="s">
        <v>139</v>
      </c>
      <c r="B108" s="6">
        <v>10</v>
      </c>
      <c r="C108" s="6"/>
      <c r="D108" s="3">
        <f t="shared" si="12"/>
        <v>3</v>
      </c>
      <c r="E108" s="3">
        <f t="shared" si="10"/>
        <v>7</v>
      </c>
      <c r="F108" s="3">
        <v>2</v>
      </c>
      <c r="G108" s="4">
        <v>1</v>
      </c>
      <c r="H108" s="10">
        <f t="shared" si="11"/>
        <v>0.2</v>
      </c>
    </row>
    <row r="109" spans="1:8" x14ac:dyDescent="0.35">
      <c r="A109" s="2" t="s">
        <v>140</v>
      </c>
      <c r="B109" s="6">
        <v>14</v>
      </c>
      <c r="C109" s="6"/>
      <c r="D109" s="3">
        <f t="shared" si="12"/>
        <v>6</v>
      </c>
      <c r="E109" s="3">
        <f t="shared" si="10"/>
        <v>8</v>
      </c>
      <c r="F109" s="3">
        <v>3</v>
      </c>
      <c r="G109" s="4">
        <v>3</v>
      </c>
      <c r="H109" s="10">
        <f t="shared" si="11"/>
        <v>0.21428571428571427</v>
      </c>
    </row>
    <row r="110" spans="1:8" x14ac:dyDescent="0.35">
      <c r="A110" s="2" t="s">
        <v>141</v>
      </c>
      <c r="B110" s="6" t="s">
        <v>111</v>
      </c>
      <c r="C110" s="6">
        <v>14</v>
      </c>
      <c r="D110" s="3">
        <f t="shared" si="12"/>
        <v>1</v>
      </c>
      <c r="E110" s="3">
        <f>C110-D110</f>
        <v>13</v>
      </c>
      <c r="F110" s="3">
        <v>0</v>
      </c>
      <c r="G110" s="4">
        <v>1</v>
      </c>
      <c r="H110" s="10">
        <f>F110/C110</f>
        <v>0</v>
      </c>
    </row>
    <row r="111" spans="1:8" x14ac:dyDescent="0.35">
      <c r="A111" s="5" t="s">
        <v>1</v>
      </c>
      <c r="B111" s="7">
        <f>SUM(B102:B109)+14</f>
        <v>111</v>
      </c>
      <c r="C111" s="7"/>
      <c r="D111" s="3">
        <f t="shared" si="12"/>
        <v>26</v>
      </c>
      <c r="E111" s="3">
        <f t="shared" ref="E111:E116" si="13">B111-D111</f>
        <v>85</v>
      </c>
      <c r="F111" s="7">
        <f>SUM(F102:F110)</f>
        <v>13</v>
      </c>
      <c r="G111" s="7">
        <f>SUM(G102:G110)</f>
        <v>13</v>
      </c>
      <c r="H111" s="11">
        <f t="shared" ref="H111:H116" si="14">F111/B111</f>
        <v>0.11711711711711711</v>
      </c>
    </row>
    <row r="112" spans="1:8" x14ac:dyDescent="0.35">
      <c r="A112" s="2" t="s">
        <v>142</v>
      </c>
      <c r="B112" s="4">
        <v>11</v>
      </c>
      <c r="C112" s="4"/>
      <c r="D112" s="3">
        <f t="shared" si="12"/>
        <v>2</v>
      </c>
      <c r="E112" s="3">
        <f t="shared" si="13"/>
        <v>9</v>
      </c>
      <c r="F112" s="3">
        <v>2</v>
      </c>
      <c r="G112" s="4">
        <v>0</v>
      </c>
      <c r="H112" s="10">
        <f t="shared" si="14"/>
        <v>0.18181818181818182</v>
      </c>
    </row>
    <row r="113" spans="1:8" x14ac:dyDescent="0.35">
      <c r="A113" s="13" t="s">
        <v>143</v>
      </c>
      <c r="B113" s="4">
        <v>36</v>
      </c>
      <c r="C113" s="4"/>
      <c r="D113" s="3">
        <f t="shared" si="12"/>
        <v>7</v>
      </c>
      <c r="E113" s="3">
        <f t="shared" si="13"/>
        <v>29</v>
      </c>
      <c r="F113" s="3">
        <v>3</v>
      </c>
      <c r="G113" s="4">
        <v>4</v>
      </c>
      <c r="H113" s="10">
        <f t="shared" si="14"/>
        <v>8.3333333333333329E-2</v>
      </c>
    </row>
    <row r="114" spans="1:8" x14ac:dyDescent="0.35">
      <c r="A114" s="2" t="s">
        <v>144</v>
      </c>
      <c r="B114" s="4">
        <v>19</v>
      </c>
      <c r="C114" s="4"/>
      <c r="D114" s="3">
        <f t="shared" si="12"/>
        <v>4</v>
      </c>
      <c r="E114" s="3">
        <f t="shared" si="13"/>
        <v>15</v>
      </c>
      <c r="F114" s="3">
        <v>3</v>
      </c>
      <c r="G114" s="4">
        <v>1</v>
      </c>
      <c r="H114" s="10">
        <f t="shared" si="14"/>
        <v>0.15789473684210525</v>
      </c>
    </row>
    <row r="115" spans="1:8" x14ac:dyDescent="0.35">
      <c r="A115" s="2" t="s">
        <v>145</v>
      </c>
      <c r="B115" s="4">
        <v>20</v>
      </c>
      <c r="C115" s="4"/>
      <c r="D115" s="3">
        <f t="shared" si="12"/>
        <v>2</v>
      </c>
      <c r="E115" s="3">
        <f t="shared" si="13"/>
        <v>18</v>
      </c>
      <c r="F115" s="3">
        <v>2</v>
      </c>
      <c r="G115" s="4">
        <v>0</v>
      </c>
      <c r="H115" s="10">
        <f t="shared" si="14"/>
        <v>0.1</v>
      </c>
    </row>
    <row r="116" spans="1:8" x14ac:dyDescent="0.35">
      <c r="A116" s="5" t="s">
        <v>1</v>
      </c>
      <c r="B116" s="7">
        <f>SUM(B112:B115)</f>
        <v>86</v>
      </c>
      <c r="C116" s="7"/>
      <c r="D116" s="3">
        <f t="shared" si="12"/>
        <v>15</v>
      </c>
      <c r="E116" s="3">
        <f t="shared" si="13"/>
        <v>71</v>
      </c>
      <c r="F116" s="7">
        <f>SUM(F112:F115)</f>
        <v>10</v>
      </c>
      <c r="G116" s="7">
        <f>SUM(G112:G115)</f>
        <v>5</v>
      </c>
      <c r="H116" s="11">
        <f t="shared" si="14"/>
        <v>0.11627906976744186</v>
      </c>
    </row>
    <row r="117" spans="1:8" x14ac:dyDescent="0.35">
      <c r="A117" s="13" t="s">
        <v>146</v>
      </c>
      <c r="B117" s="4" t="s">
        <v>147</v>
      </c>
      <c r="C117" s="4">
        <v>40</v>
      </c>
      <c r="D117" s="3">
        <f t="shared" si="12"/>
        <v>8</v>
      </c>
      <c r="E117" s="3">
        <f>C117-D117</f>
        <v>32</v>
      </c>
      <c r="F117" s="3">
        <v>7</v>
      </c>
      <c r="G117" s="4">
        <v>1</v>
      </c>
      <c r="H117" s="10">
        <f>F117/C117</f>
        <v>0.17499999999999999</v>
      </c>
    </row>
    <row r="118" spans="1:8" x14ac:dyDescent="0.35">
      <c r="A118" s="2" t="s">
        <v>148</v>
      </c>
      <c r="B118" s="4">
        <v>13</v>
      </c>
      <c r="C118" s="4"/>
      <c r="D118" s="3">
        <f t="shared" si="12"/>
        <v>3</v>
      </c>
      <c r="E118" s="3">
        <f t="shared" ref="E118:E135" si="15">B118-D118</f>
        <v>10</v>
      </c>
      <c r="F118" s="3">
        <v>1</v>
      </c>
      <c r="G118" s="4">
        <v>2</v>
      </c>
      <c r="H118" s="10">
        <f t="shared" ref="H118:H135" si="16">F118/B118</f>
        <v>7.6923076923076927E-2</v>
      </c>
    </row>
    <row r="119" spans="1:8" x14ac:dyDescent="0.35">
      <c r="A119" s="5" t="s">
        <v>1</v>
      </c>
      <c r="B119" s="7">
        <f>40+13</f>
        <v>53</v>
      </c>
      <c r="C119" s="7"/>
      <c r="D119" s="3">
        <f t="shared" si="12"/>
        <v>11</v>
      </c>
      <c r="E119" s="3">
        <f t="shared" si="15"/>
        <v>42</v>
      </c>
      <c r="F119" s="7">
        <f>SUM(F117:F118)</f>
        <v>8</v>
      </c>
      <c r="G119" s="7">
        <f>SUM(G117:G118)</f>
        <v>3</v>
      </c>
      <c r="H119" s="11">
        <f t="shared" si="16"/>
        <v>0.15094339622641509</v>
      </c>
    </row>
    <row r="120" spans="1:8" x14ac:dyDescent="0.35">
      <c r="A120" s="2" t="s">
        <v>149</v>
      </c>
      <c r="B120" s="4">
        <v>23</v>
      </c>
      <c r="C120" s="4"/>
      <c r="D120" s="3">
        <f t="shared" si="12"/>
        <v>4</v>
      </c>
      <c r="E120" s="3">
        <f t="shared" si="15"/>
        <v>19</v>
      </c>
      <c r="F120" s="3">
        <v>3</v>
      </c>
      <c r="G120" s="4">
        <v>1</v>
      </c>
      <c r="H120" s="10">
        <f t="shared" si="16"/>
        <v>0.13043478260869565</v>
      </c>
    </row>
    <row r="121" spans="1:8" x14ac:dyDescent="0.35">
      <c r="A121" s="13" t="s">
        <v>150</v>
      </c>
      <c r="B121" s="4">
        <v>10</v>
      </c>
      <c r="C121" s="4"/>
      <c r="D121" s="3">
        <f t="shared" si="12"/>
        <v>2</v>
      </c>
      <c r="E121" s="3">
        <f t="shared" si="15"/>
        <v>8</v>
      </c>
      <c r="F121" s="3">
        <v>2</v>
      </c>
      <c r="G121" s="4">
        <v>0</v>
      </c>
      <c r="H121" s="10">
        <f t="shared" si="16"/>
        <v>0.2</v>
      </c>
    </row>
    <row r="122" spans="1:8" x14ac:dyDescent="0.35">
      <c r="A122" s="2" t="s">
        <v>151</v>
      </c>
      <c r="B122" s="4">
        <v>23</v>
      </c>
      <c r="C122" s="4"/>
      <c r="D122" s="3">
        <f t="shared" si="12"/>
        <v>2</v>
      </c>
      <c r="E122" s="3">
        <f t="shared" si="15"/>
        <v>21</v>
      </c>
      <c r="F122" s="3">
        <v>1</v>
      </c>
      <c r="G122" s="4">
        <v>1</v>
      </c>
      <c r="H122" s="10">
        <f t="shared" si="16"/>
        <v>4.3478260869565216E-2</v>
      </c>
    </row>
    <row r="123" spans="1:8" x14ac:dyDescent="0.35">
      <c r="A123" s="2" t="s">
        <v>152</v>
      </c>
      <c r="B123" s="4">
        <v>24</v>
      </c>
      <c r="C123" s="4"/>
      <c r="D123" s="3">
        <f t="shared" si="12"/>
        <v>3</v>
      </c>
      <c r="E123" s="3">
        <f t="shared" si="15"/>
        <v>21</v>
      </c>
      <c r="F123" s="3">
        <v>2</v>
      </c>
      <c r="G123" s="4">
        <v>1</v>
      </c>
      <c r="H123" s="10">
        <f t="shared" si="16"/>
        <v>8.3333333333333329E-2</v>
      </c>
    </row>
    <row r="124" spans="1:8" x14ac:dyDescent="0.35">
      <c r="A124" s="2" t="s">
        <v>153</v>
      </c>
      <c r="B124" s="4">
        <v>15</v>
      </c>
      <c r="C124" s="4"/>
      <c r="D124" s="3">
        <f t="shared" si="12"/>
        <v>0</v>
      </c>
      <c r="E124" s="3">
        <f t="shared" si="15"/>
        <v>15</v>
      </c>
      <c r="F124" s="3">
        <v>0</v>
      </c>
      <c r="G124" s="4">
        <v>0</v>
      </c>
      <c r="H124" s="10">
        <f t="shared" si="16"/>
        <v>0</v>
      </c>
    </row>
    <row r="125" spans="1:8" x14ac:dyDescent="0.35">
      <c r="A125" s="5" t="s">
        <v>1</v>
      </c>
      <c r="B125" s="7">
        <f>SUM(B120:B124)</f>
        <v>95</v>
      </c>
      <c r="C125" s="7"/>
      <c r="D125" s="3">
        <f t="shared" si="12"/>
        <v>11</v>
      </c>
      <c r="E125" s="3">
        <f t="shared" si="15"/>
        <v>84</v>
      </c>
      <c r="F125" s="7">
        <f>SUM(F120:F124)</f>
        <v>8</v>
      </c>
      <c r="G125" s="7">
        <f>SUM(G120:G124)</f>
        <v>3</v>
      </c>
      <c r="H125" s="11">
        <f t="shared" si="16"/>
        <v>8.4210526315789472E-2</v>
      </c>
    </row>
    <row r="126" spans="1:8" x14ac:dyDescent="0.35">
      <c r="A126" s="13" t="s">
        <v>154</v>
      </c>
      <c r="B126" s="4">
        <v>14</v>
      </c>
      <c r="C126" s="4"/>
      <c r="D126" s="3">
        <f t="shared" si="12"/>
        <v>1</v>
      </c>
      <c r="E126" s="3">
        <f t="shared" si="15"/>
        <v>13</v>
      </c>
      <c r="F126" s="3">
        <v>0</v>
      </c>
      <c r="G126" s="4">
        <v>1</v>
      </c>
      <c r="H126" s="10">
        <f t="shared" si="16"/>
        <v>0</v>
      </c>
    </row>
    <row r="127" spans="1:8" x14ac:dyDescent="0.35">
      <c r="A127" s="2" t="s">
        <v>155</v>
      </c>
      <c r="B127" s="4">
        <v>23</v>
      </c>
      <c r="C127" s="4"/>
      <c r="D127" s="3">
        <f t="shared" si="12"/>
        <v>3</v>
      </c>
      <c r="E127" s="3">
        <f t="shared" si="15"/>
        <v>20</v>
      </c>
      <c r="F127" s="3">
        <v>0</v>
      </c>
      <c r="G127" s="4">
        <v>3</v>
      </c>
      <c r="H127" s="10">
        <f t="shared" si="16"/>
        <v>0</v>
      </c>
    </row>
    <row r="128" spans="1:8" x14ac:dyDescent="0.35">
      <c r="A128" s="2" t="s">
        <v>156</v>
      </c>
      <c r="B128" s="4">
        <v>23</v>
      </c>
      <c r="C128" s="4"/>
      <c r="D128" s="3">
        <f t="shared" si="12"/>
        <v>4</v>
      </c>
      <c r="E128" s="3">
        <f t="shared" si="15"/>
        <v>19</v>
      </c>
      <c r="F128" s="3">
        <v>3</v>
      </c>
      <c r="G128" s="4">
        <v>1</v>
      </c>
      <c r="H128" s="10">
        <f t="shared" si="16"/>
        <v>0.13043478260869565</v>
      </c>
    </row>
    <row r="129" spans="1:8" x14ac:dyDescent="0.35">
      <c r="A129" s="2" t="s">
        <v>157</v>
      </c>
      <c r="B129" s="4">
        <v>20</v>
      </c>
      <c r="C129" s="4"/>
      <c r="D129" s="3">
        <f t="shared" si="12"/>
        <v>2</v>
      </c>
      <c r="E129" s="3">
        <f t="shared" si="15"/>
        <v>18</v>
      </c>
      <c r="F129" s="3">
        <v>1</v>
      </c>
      <c r="G129" s="4">
        <v>1</v>
      </c>
      <c r="H129" s="10">
        <f t="shared" si="16"/>
        <v>0.05</v>
      </c>
    </row>
    <row r="130" spans="1:8" x14ac:dyDescent="0.35">
      <c r="A130" s="5" t="s">
        <v>1</v>
      </c>
      <c r="B130" s="7">
        <f>SUM(B126:B129)</f>
        <v>80</v>
      </c>
      <c r="C130" s="7"/>
      <c r="D130" s="3">
        <f t="shared" si="12"/>
        <v>10</v>
      </c>
      <c r="E130" s="3">
        <f t="shared" si="15"/>
        <v>70</v>
      </c>
      <c r="F130" s="7">
        <f>SUM(F126:F129)</f>
        <v>4</v>
      </c>
      <c r="G130" s="7">
        <f>SUM(G126:G129)</f>
        <v>6</v>
      </c>
      <c r="H130" s="11">
        <f t="shared" si="16"/>
        <v>0.05</v>
      </c>
    </row>
    <row r="131" spans="1:8" x14ac:dyDescent="0.35">
      <c r="A131" s="2" t="s">
        <v>158</v>
      </c>
      <c r="B131" s="4">
        <v>30</v>
      </c>
      <c r="C131" s="4"/>
      <c r="D131" s="3">
        <f t="shared" si="12"/>
        <v>5</v>
      </c>
      <c r="E131" s="3">
        <f t="shared" si="15"/>
        <v>25</v>
      </c>
      <c r="F131" s="3">
        <v>1</v>
      </c>
      <c r="G131" s="4">
        <v>4</v>
      </c>
      <c r="H131" s="10">
        <f t="shared" si="16"/>
        <v>3.3333333333333333E-2</v>
      </c>
    </row>
    <row r="132" spans="1:8" x14ac:dyDescent="0.35">
      <c r="A132" s="2" t="s">
        <v>159</v>
      </c>
      <c r="B132" s="4">
        <v>18</v>
      </c>
      <c r="C132" s="4"/>
      <c r="D132" s="3">
        <f t="shared" si="12"/>
        <v>8</v>
      </c>
      <c r="E132" s="3">
        <f t="shared" si="15"/>
        <v>10</v>
      </c>
      <c r="F132" s="3">
        <v>3</v>
      </c>
      <c r="G132" s="4">
        <v>5</v>
      </c>
      <c r="H132" s="10">
        <f t="shared" si="16"/>
        <v>0.16666666666666666</v>
      </c>
    </row>
    <row r="133" spans="1:8" x14ac:dyDescent="0.35">
      <c r="A133" s="2" t="s">
        <v>160</v>
      </c>
      <c r="B133" s="4">
        <v>12</v>
      </c>
      <c r="C133" s="4"/>
      <c r="D133" s="3">
        <f t="shared" si="12"/>
        <v>2</v>
      </c>
      <c r="E133" s="3">
        <f t="shared" si="15"/>
        <v>10</v>
      </c>
      <c r="F133" s="3">
        <v>0</v>
      </c>
      <c r="G133" s="4">
        <v>2</v>
      </c>
      <c r="H133" s="10">
        <f t="shared" si="16"/>
        <v>0</v>
      </c>
    </row>
    <row r="134" spans="1:8" x14ac:dyDescent="0.35">
      <c r="A134" s="13" t="s">
        <v>161</v>
      </c>
      <c r="B134" s="4">
        <v>19</v>
      </c>
      <c r="C134" s="4"/>
      <c r="D134" s="3">
        <f t="shared" si="12"/>
        <v>5</v>
      </c>
      <c r="E134" s="3">
        <f t="shared" si="15"/>
        <v>14</v>
      </c>
      <c r="F134" s="3">
        <v>4</v>
      </c>
      <c r="G134" s="4">
        <v>1</v>
      </c>
      <c r="H134" s="10">
        <f t="shared" si="16"/>
        <v>0.21052631578947367</v>
      </c>
    </row>
    <row r="135" spans="1:8" x14ac:dyDescent="0.35">
      <c r="A135" s="5" t="s">
        <v>1</v>
      </c>
      <c r="B135" s="7">
        <f>SUM(B131:B134)</f>
        <v>79</v>
      </c>
      <c r="C135" s="7"/>
      <c r="D135" s="3">
        <f t="shared" si="12"/>
        <v>20</v>
      </c>
      <c r="E135" s="3">
        <f t="shared" si="15"/>
        <v>59</v>
      </c>
      <c r="F135" s="7">
        <f>SUM(F131:F134)</f>
        <v>8</v>
      </c>
      <c r="G135" s="7">
        <f>SUM(G131:G134)</f>
        <v>12</v>
      </c>
      <c r="H135" s="11">
        <f t="shared" si="16"/>
        <v>0.10126582278481013</v>
      </c>
    </row>
    <row r="136" spans="1:8" x14ac:dyDescent="0.35">
      <c r="A136" s="2" t="s">
        <v>162</v>
      </c>
      <c r="B136" s="4" t="s">
        <v>163</v>
      </c>
      <c r="C136" s="4">
        <v>20</v>
      </c>
      <c r="D136" s="3">
        <f t="shared" si="12"/>
        <v>8</v>
      </c>
      <c r="E136" s="3">
        <f>C136-D136</f>
        <v>12</v>
      </c>
      <c r="F136" s="3">
        <v>3</v>
      </c>
      <c r="G136" s="4">
        <v>5</v>
      </c>
      <c r="H136" s="10">
        <f>F136/C136</f>
        <v>0.15</v>
      </c>
    </row>
    <row r="137" spans="1:8" x14ac:dyDescent="0.35">
      <c r="A137" s="13" t="s">
        <v>164</v>
      </c>
      <c r="B137" s="4">
        <v>10</v>
      </c>
      <c r="C137" s="4"/>
      <c r="D137" s="3">
        <f t="shared" ref="D137:D168" si="17">SUM(F137:G137)</f>
        <v>5</v>
      </c>
      <c r="E137" s="3">
        <f>B137-D137</f>
        <v>5</v>
      </c>
      <c r="F137" s="3">
        <v>0</v>
      </c>
      <c r="G137" s="4">
        <v>5</v>
      </c>
      <c r="H137" s="10">
        <f>F137/B137</f>
        <v>0</v>
      </c>
    </row>
    <row r="138" spans="1:8" x14ac:dyDescent="0.35">
      <c r="A138" s="2" t="s">
        <v>165</v>
      </c>
      <c r="B138" s="4">
        <v>14</v>
      </c>
      <c r="C138" s="4"/>
      <c r="D138" s="3">
        <f t="shared" si="17"/>
        <v>4</v>
      </c>
      <c r="E138" s="3">
        <f>B138-D138</f>
        <v>10</v>
      </c>
      <c r="F138" s="3">
        <v>3</v>
      </c>
      <c r="G138" s="4">
        <v>1</v>
      </c>
      <c r="H138" s="10">
        <f>F138/B138</f>
        <v>0.21428571428571427</v>
      </c>
    </row>
    <row r="139" spans="1:8" x14ac:dyDescent="0.35">
      <c r="A139" s="2" t="s">
        <v>166</v>
      </c>
      <c r="B139" s="4">
        <v>22</v>
      </c>
      <c r="C139" s="4"/>
      <c r="D139" s="3">
        <f t="shared" si="17"/>
        <v>8</v>
      </c>
      <c r="E139" s="3">
        <f>B139-D139</f>
        <v>14</v>
      </c>
      <c r="F139" s="3">
        <v>4</v>
      </c>
      <c r="G139" s="4">
        <v>4</v>
      </c>
      <c r="H139" s="10">
        <f>F139/B139</f>
        <v>0.18181818181818182</v>
      </c>
    </row>
    <row r="140" spans="1:8" x14ac:dyDescent="0.35">
      <c r="A140" s="5" t="s">
        <v>1</v>
      </c>
      <c r="B140" s="7">
        <f>20+10+14+22</f>
        <v>66</v>
      </c>
      <c r="C140" s="7"/>
      <c r="D140" s="3">
        <f t="shared" si="17"/>
        <v>25</v>
      </c>
      <c r="E140" s="3">
        <f>B140-D140</f>
        <v>41</v>
      </c>
      <c r="F140" s="7">
        <f>SUM(F136:F139)</f>
        <v>10</v>
      </c>
      <c r="G140" s="7">
        <f>SUM(G136:G139)</f>
        <v>15</v>
      </c>
      <c r="H140" s="11">
        <f>F140/B140</f>
        <v>0.15151515151515152</v>
      </c>
    </row>
    <row r="141" spans="1:8" x14ac:dyDescent="0.35">
      <c r="A141" s="2" t="s">
        <v>167</v>
      </c>
      <c r="B141" s="6" t="s">
        <v>168</v>
      </c>
      <c r="C141" s="6">
        <v>46</v>
      </c>
      <c r="D141" s="3">
        <f t="shared" si="17"/>
        <v>11</v>
      </c>
      <c r="E141" s="3">
        <f>C141-D141</f>
        <v>35</v>
      </c>
      <c r="F141" s="3">
        <v>3</v>
      </c>
      <c r="G141" s="4">
        <v>8</v>
      </c>
      <c r="H141" s="10">
        <f>F141/C141</f>
        <v>6.5217391304347824E-2</v>
      </c>
    </row>
    <row r="142" spans="1:8" x14ac:dyDescent="0.35">
      <c r="A142" s="2" t="s">
        <v>169</v>
      </c>
      <c r="B142" s="6" t="s">
        <v>111</v>
      </c>
      <c r="C142" s="6">
        <v>14</v>
      </c>
      <c r="D142" s="3">
        <f t="shared" si="17"/>
        <v>4</v>
      </c>
      <c r="E142" s="3">
        <f>C142-D142</f>
        <v>10</v>
      </c>
      <c r="F142" s="3">
        <v>3</v>
      </c>
      <c r="G142" s="4">
        <v>1</v>
      </c>
      <c r="H142" s="10">
        <f>F142/C142</f>
        <v>0.21428571428571427</v>
      </c>
    </row>
    <row r="143" spans="1:8" x14ac:dyDescent="0.35">
      <c r="A143" s="2" t="s">
        <v>170</v>
      </c>
      <c r="B143" s="6">
        <v>13</v>
      </c>
      <c r="C143" s="6"/>
      <c r="D143" s="3">
        <f t="shared" si="17"/>
        <v>2</v>
      </c>
      <c r="E143" s="3">
        <f t="shared" ref="E143:E149" si="18">B143-D143</f>
        <v>11</v>
      </c>
      <c r="F143" s="3">
        <v>0</v>
      </c>
      <c r="G143" s="4">
        <v>2</v>
      </c>
      <c r="H143" s="10">
        <f t="shared" ref="H143:H149" si="19">F143/B143</f>
        <v>0</v>
      </c>
    </row>
    <row r="144" spans="1:8" x14ac:dyDescent="0.35">
      <c r="A144" s="2" t="s">
        <v>171</v>
      </c>
      <c r="B144" s="6">
        <v>14</v>
      </c>
      <c r="C144" s="6"/>
      <c r="D144" s="3">
        <f t="shared" si="17"/>
        <v>4</v>
      </c>
      <c r="E144" s="3">
        <f t="shared" si="18"/>
        <v>10</v>
      </c>
      <c r="F144" s="3">
        <v>1</v>
      </c>
      <c r="G144" s="4">
        <v>3</v>
      </c>
      <c r="H144" s="10">
        <f t="shared" si="19"/>
        <v>7.1428571428571425E-2</v>
      </c>
    </row>
    <row r="145" spans="1:8" x14ac:dyDescent="0.35">
      <c r="A145" s="5" t="s">
        <v>1</v>
      </c>
      <c r="B145" s="7">
        <f>46+14+13+14</f>
        <v>87</v>
      </c>
      <c r="C145" s="7"/>
      <c r="D145" s="3">
        <f t="shared" si="17"/>
        <v>21</v>
      </c>
      <c r="E145" s="3">
        <f t="shared" si="18"/>
        <v>66</v>
      </c>
      <c r="F145" s="7">
        <f>SUM(F141:F144)</f>
        <v>7</v>
      </c>
      <c r="G145" s="7">
        <f>SUM(G141:G144)</f>
        <v>14</v>
      </c>
      <c r="H145" s="11">
        <f t="shared" si="19"/>
        <v>8.0459770114942528E-2</v>
      </c>
    </row>
    <row r="146" spans="1:8" x14ac:dyDescent="0.35">
      <c r="A146" s="2" t="s">
        <v>172</v>
      </c>
      <c r="B146" s="6">
        <v>37</v>
      </c>
      <c r="C146" s="6"/>
      <c r="D146" s="3">
        <f t="shared" si="17"/>
        <v>8</v>
      </c>
      <c r="E146" s="3">
        <f t="shared" si="18"/>
        <v>29</v>
      </c>
      <c r="F146" s="3">
        <v>6</v>
      </c>
      <c r="G146" s="4">
        <v>2</v>
      </c>
      <c r="H146" s="10">
        <f t="shared" si="19"/>
        <v>0.16216216216216217</v>
      </c>
    </row>
    <row r="147" spans="1:8" x14ac:dyDescent="0.35">
      <c r="A147" s="2" t="s">
        <v>173</v>
      </c>
      <c r="B147" s="6">
        <v>24</v>
      </c>
      <c r="C147" s="6"/>
      <c r="D147" s="3">
        <f t="shared" si="17"/>
        <v>1</v>
      </c>
      <c r="E147" s="3">
        <f t="shared" si="18"/>
        <v>23</v>
      </c>
      <c r="F147" s="3">
        <v>0</v>
      </c>
      <c r="G147" s="4">
        <v>1</v>
      </c>
      <c r="H147" s="10">
        <f t="shared" si="19"/>
        <v>0</v>
      </c>
    </row>
    <row r="148" spans="1:8" x14ac:dyDescent="0.35">
      <c r="A148" s="2" t="s">
        <v>174</v>
      </c>
      <c r="B148" s="6">
        <v>15</v>
      </c>
      <c r="C148" s="6"/>
      <c r="D148" s="3">
        <f t="shared" si="17"/>
        <v>3</v>
      </c>
      <c r="E148" s="3">
        <f t="shared" si="18"/>
        <v>12</v>
      </c>
      <c r="F148" s="3">
        <v>0</v>
      </c>
      <c r="G148" s="4">
        <v>3</v>
      </c>
      <c r="H148" s="10">
        <f t="shared" si="19"/>
        <v>0</v>
      </c>
    </row>
    <row r="149" spans="1:8" x14ac:dyDescent="0.35">
      <c r="A149" s="5" t="s">
        <v>1</v>
      </c>
      <c r="B149" s="7">
        <f>SUM(B146:B148)</f>
        <v>76</v>
      </c>
      <c r="C149" s="7"/>
      <c r="D149" s="3">
        <f t="shared" si="17"/>
        <v>12</v>
      </c>
      <c r="E149" s="3">
        <f t="shared" si="18"/>
        <v>64</v>
      </c>
      <c r="F149" s="7">
        <f>SUM(F146:F148)</f>
        <v>6</v>
      </c>
      <c r="G149" s="7">
        <f>SUM(G146:G148)</f>
        <v>6</v>
      </c>
      <c r="H149" s="11">
        <f t="shared" si="19"/>
        <v>7.8947368421052627E-2</v>
      </c>
    </row>
    <row r="150" spans="1:8" x14ac:dyDescent="0.35">
      <c r="A150" s="2" t="s">
        <v>175</v>
      </c>
      <c r="B150" s="6" t="s">
        <v>176</v>
      </c>
      <c r="C150" s="6">
        <v>26</v>
      </c>
      <c r="D150" s="3">
        <f t="shared" si="17"/>
        <v>1</v>
      </c>
      <c r="E150" s="3">
        <f>C150-D150</f>
        <v>25</v>
      </c>
      <c r="F150" s="3">
        <v>0</v>
      </c>
      <c r="G150" s="4">
        <v>1</v>
      </c>
      <c r="H150" s="10">
        <f>F150/C150</f>
        <v>0</v>
      </c>
    </row>
    <row r="151" spans="1:8" x14ac:dyDescent="0.35">
      <c r="A151" s="2" t="s">
        <v>177</v>
      </c>
      <c r="B151" s="6">
        <v>21</v>
      </c>
      <c r="C151" s="6"/>
      <c r="D151" s="3">
        <f t="shared" si="17"/>
        <v>1</v>
      </c>
      <c r="E151" s="3">
        <f t="shared" ref="E151:E192" si="20">B151-D151</f>
        <v>20</v>
      </c>
      <c r="F151" s="3">
        <v>1</v>
      </c>
      <c r="G151" s="4">
        <v>0</v>
      </c>
      <c r="H151" s="10">
        <f t="shared" ref="H151:H192" si="21">F151/B151</f>
        <v>4.7619047619047616E-2</v>
      </c>
    </row>
    <row r="152" spans="1:8" x14ac:dyDescent="0.35">
      <c r="A152" s="2" t="s">
        <v>178</v>
      </c>
      <c r="B152" s="6">
        <v>14</v>
      </c>
      <c r="C152" s="6"/>
      <c r="D152" s="3">
        <f t="shared" si="17"/>
        <v>0</v>
      </c>
      <c r="E152" s="3">
        <f t="shared" si="20"/>
        <v>14</v>
      </c>
      <c r="F152" s="3">
        <v>0</v>
      </c>
      <c r="G152" s="4">
        <v>0</v>
      </c>
      <c r="H152" s="10">
        <f t="shared" si="21"/>
        <v>0</v>
      </c>
    </row>
    <row r="153" spans="1:8" x14ac:dyDescent="0.35">
      <c r="A153" s="5" t="s">
        <v>1</v>
      </c>
      <c r="B153" s="7">
        <f>26+21+14</f>
        <v>61</v>
      </c>
      <c r="C153" s="7"/>
      <c r="D153" s="3">
        <f t="shared" si="17"/>
        <v>2</v>
      </c>
      <c r="E153" s="3">
        <f t="shared" si="20"/>
        <v>59</v>
      </c>
      <c r="F153" s="7">
        <f>SUM(F150:F152)</f>
        <v>1</v>
      </c>
      <c r="G153" s="7">
        <f>SUM(G150:G152)</f>
        <v>1</v>
      </c>
      <c r="H153" s="11">
        <f t="shared" si="21"/>
        <v>1.6393442622950821E-2</v>
      </c>
    </row>
    <row r="154" spans="1:8" x14ac:dyDescent="0.35">
      <c r="A154" s="2" t="s">
        <v>179</v>
      </c>
      <c r="B154" s="6">
        <v>13</v>
      </c>
      <c r="C154" s="6"/>
      <c r="D154" s="3">
        <f t="shared" si="17"/>
        <v>1</v>
      </c>
      <c r="E154" s="3">
        <f t="shared" si="20"/>
        <v>12</v>
      </c>
      <c r="F154" s="3">
        <v>0</v>
      </c>
      <c r="G154" s="4">
        <v>1</v>
      </c>
      <c r="H154" s="10">
        <f t="shared" si="21"/>
        <v>0</v>
      </c>
    </row>
    <row r="155" spans="1:8" x14ac:dyDescent="0.35">
      <c r="A155" s="2" t="s">
        <v>180</v>
      </c>
      <c r="B155" s="6">
        <v>14</v>
      </c>
      <c r="C155" s="6"/>
      <c r="D155" s="3">
        <f t="shared" si="17"/>
        <v>0</v>
      </c>
      <c r="E155" s="3">
        <f t="shared" si="20"/>
        <v>14</v>
      </c>
      <c r="F155" s="3">
        <v>0</v>
      </c>
      <c r="G155" s="4">
        <v>0</v>
      </c>
      <c r="H155" s="10">
        <f t="shared" si="21"/>
        <v>0</v>
      </c>
    </row>
    <row r="156" spans="1:8" x14ac:dyDescent="0.35">
      <c r="A156" s="2" t="s">
        <v>181</v>
      </c>
      <c r="B156" s="6">
        <v>18</v>
      </c>
      <c r="C156" s="6"/>
      <c r="D156" s="3">
        <f t="shared" si="17"/>
        <v>3</v>
      </c>
      <c r="E156" s="3">
        <f t="shared" si="20"/>
        <v>15</v>
      </c>
      <c r="F156" s="3">
        <v>2</v>
      </c>
      <c r="G156" s="4">
        <v>1</v>
      </c>
      <c r="H156" s="10">
        <f t="shared" si="21"/>
        <v>0.1111111111111111</v>
      </c>
    </row>
    <row r="157" spans="1:8" x14ac:dyDescent="0.35">
      <c r="A157" s="2" t="s">
        <v>182</v>
      </c>
      <c r="B157" s="6">
        <v>34</v>
      </c>
      <c r="C157" s="6"/>
      <c r="D157" s="3">
        <f t="shared" si="17"/>
        <v>5</v>
      </c>
      <c r="E157" s="3">
        <f t="shared" si="20"/>
        <v>29</v>
      </c>
      <c r="F157" s="3">
        <v>2</v>
      </c>
      <c r="G157" s="4">
        <v>3</v>
      </c>
      <c r="H157" s="10">
        <f t="shared" si="21"/>
        <v>5.8823529411764705E-2</v>
      </c>
    </row>
    <row r="158" spans="1:8" x14ac:dyDescent="0.35">
      <c r="A158" s="2" t="s">
        <v>183</v>
      </c>
      <c r="B158" s="6">
        <v>28</v>
      </c>
      <c r="C158" s="6"/>
      <c r="D158" s="3">
        <f t="shared" si="17"/>
        <v>0</v>
      </c>
      <c r="E158" s="3">
        <f t="shared" si="20"/>
        <v>28</v>
      </c>
      <c r="F158" s="3">
        <v>0</v>
      </c>
      <c r="G158" s="4">
        <v>0</v>
      </c>
      <c r="H158" s="10">
        <f t="shared" si="21"/>
        <v>0</v>
      </c>
    </row>
    <row r="159" spans="1:8" x14ac:dyDescent="0.35">
      <c r="A159" s="5" t="s">
        <v>1</v>
      </c>
      <c r="B159" s="7">
        <f>SUM(B154:B158)</f>
        <v>107</v>
      </c>
      <c r="C159" s="7"/>
      <c r="D159" s="3">
        <f t="shared" si="17"/>
        <v>9</v>
      </c>
      <c r="E159" s="3">
        <f t="shared" si="20"/>
        <v>98</v>
      </c>
      <c r="F159" s="7">
        <f>SUM(F154:F158)</f>
        <v>4</v>
      </c>
      <c r="G159" s="7">
        <f>SUM(G154:G158)</f>
        <v>5</v>
      </c>
      <c r="H159" s="11">
        <f t="shared" si="21"/>
        <v>3.7383177570093455E-2</v>
      </c>
    </row>
    <row r="160" spans="1:8" x14ac:dyDescent="0.35">
      <c r="A160" s="5" t="s">
        <v>184</v>
      </c>
      <c r="B160" s="7">
        <f>SUM(B111,B116,B119,B125,B130,B135,B140,B145,B153,B149,B159)</f>
        <v>901</v>
      </c>
      <c r="C160" s="7"/>
      <c r="D160" s="3">
        <f t="shared" si="17"/>
        <v>162</v>
      </c>
      <c r="E160" s="3">
        <f t="shared" si="20"/>
        <v>739</v>
      </c>
      <c r="F160" s="7">
        <f>SUM(F111,F116,F119,F125,F130,F135,F140,F145,F153,F149,F159)</f>
        <v>79</v>
      </c>
      <c r="G160" s="7">
        <f>SUM(G111,G116,G119,G125,G130,G135,G140,G145,G153,G149,G159)</f>
        <v>83</v>
      </c>
      <c r="H160" s="11">
        <f t="shared" si="21"/>
        <v>8.7680355160932297E-2</v>
      </c>
    </row>
    <row r="161" spans="1:8" x14ac:dyDescent="0.35">
      <c r="A161" s="2" t="s">
        <v>28</v>
      </c>
      <c r="B161" s="6">
        <v>31</v>
      </c>
      <c r="C161" s="6"/>
      <c r="D161" s="3">
        <f t="shared" si="17"/>
        <v>6</v>
      </c>
      <c r="E161" s="3">
        <f t="shared" si="20"/>
        <v>25</v>
      </c>
      <c r="F161" s="3">
        <v>4</v>
      </c>
      <c r="G161" s="4">
        <v>2</v>
      </c>
      <c r="H161" s="10">
        <f t="shared" si="21"/>
        <v>0.12903225806451613</v>
      </c>
    </row>
    <row r="162" spans="1:8" x14ac:dyDescent="0.35">
      <c r="A162" s="15" t="s">
        <v>29</v>
      </c>
      <c r="B162" s="16">
        <v>35</v>
      </c>
      <c r="C162" s="6"/>
      <c r="D162" s="3">
        <f t="shared" si="17"/>
        <v>34</v>
      </c>
      <c r="E162" s="3">
        <f t="shared" si="20"/>
        <v>1</v>
      </c>
      <c r="F162" s="17">
        <v>32</v>
      </c>
      <c r="G162" s="16">
        <v>2</v>
      </c>
      <c r="H162" s="18">
        <f t="shared" si="21"/>
        <v>0.91428571428571426</v>
      </c>
    </row>
    <row r="163" spans="1:8" x14ac:dyDescent="0.35">
      <c r="A163" s="2" t="s">
        <v>30</v>
      </c>
      <c r="B163" s="6">
        <v>14</v>
      </c>
      <c r="C163" s="6"/>
      <c r="D163" s="3">
        <f t="shared" si="17"/>
        <v>13</v>
      </c>
      <c r="E163" s="3">
        <f t="shared" si="20"/>
        <v>1</v>
      </c>
      <c r="F163" s="3">
        <v>10</v>
      </c>
      <c r="G163" s="4">
        <v>3</v>
      </c>
      <c r="H163" s="10">
        <f t="shared" si="21"/>
        <v>0.7142857142857143</v>
      </c>
    </row>
    <row r="164" spans="1:8" x14ac:dyDescent="0.35">
      <c r="A164" s="2" t="s">
        <v>31</v>
      </c>
      <c r="B164" s="6">
        <v>30</v>
      </c>
      <c r="C164" s="6"/>
      <c r="D164" s="3">
        <f t="shared" si="17"/>
        <v>30</v>
      </c>
      <c r="E164" s="3">
        <f t="shared" si="20"/>
        <v>0</v>
      </c>
      <c r="F164" s="3">
        <v>21</v>
      </c>
      <c r="G164" s="4">
        <v>9</v>
      </c>
      <c r="H164" s="10">
        <f t="shared" si="21"/>
        <v>0.7</v>
      </c>
    </row>
    <row r="165" spans="1:8" x14ac:dyDescent="0.35">
      <c r="A165" s="15" t="s">
        <v>32</v>
      </c>
      <c r="B165" s="16">
        <v>19</v>
      </c>
      <c r="C165" s="16"/>
      <c r="D165" s="17">
        <f t="shared" si="17"/>
        <v>19</v>
      </c>
      <c r="E165" s="17">
        <f t="shared" si="20"/>
        <v>0</v>
      </c>
      <c r="F165" s="17">
        <v>18</v>
      </c>
      <c r="G165" s="16">
        <v>1</v>
      </c>
      <c r="H165" s="18">
        <f t="shared" si="21"/>
        <v>0.94736842105263153</v>
      </c>
    </row>
    <row r="166" spans="1:8" x14ac:dyDescent="0.35">
      <c r="A166" s="5" t="s">
        <v>1</v>
      </c>
      <c r="B166" s="7">
        <f>SUM(B161:B165)</f>
        <v>129</v>
      </c>
      <c r="C166" s="7"/>
      <c r="D166" s="3">
        <f t="shared" si="17"/>
        <v>102</v>
      </c>
      <c r="E166" s="3">
        <f t="shared" si="20"/>
        <v>27</v>
      </c>
      <c r="F166" s="7">
        <f>SUM(F161:F165)</f>
        <v>85</v>
      </c>
      <c r="G166" s="7">
        <f>SUM(G161:G165)</f>
        <v>17</v>
      </c>
      <c r="H166" s="11">
        <f t="shared" si="21"/>
        <v>0.65891472868217049</v>
      </c>
    </row>
    <row r="167" spans="1:8" x14ac:dyDescent="0.35">
      <c r="A167" s="2" t="s">
        <v>33</v>
      </c>
      <c r="B167" s="6">
        <v>41</v>
      </c>
      <c r="C167" s="6"/>
      <c r="D167" s="3">
        <f t="shared" si="17"/>
        <v>14</v>
      </c>
      <c r="E167" s="3">
        <f t="shared" si="20"/>
        <v>27</v>
      </c>
      <c r="F167" s="3">
        <v>9</v>
      </c>
      <c r="G167" s="4">
        <v>5</v>
      </c>
      <c r="H167" s="10">
        <f t="shared" si="21"/>
        <v>0.21951219512195122</v>
      </c>
    </row>
    <row r="168" spans="1:8" x14ac:dyDescent="0.35">
      <c r="A168" s="2" t="s">
        <v>34</v>
      </c>
      <c r="B168" s="6">
        <v>38</v>
      </c>
      <c r="C168" s="6"/>
      <c r="D168" s="3">
        <f t="shared" si="17"/>
        <v>7</v>
      </c>
      <c r="E168" s="3">
        <f t="shared" si="20"/>
        <v>31</v>
      </c>
      <c r="F168" s="3">
        <v>4</v>
      </c>
      <c r="G168" s="4">
        <v>3</v>
      </c>
      <c r="H168" s="10">
        <f t="shared" si="21"/>
        <v>0.10526315789473684</v>
      </c>
    </row>
    <row r="169" spans="1:8" x14ac:dyDescent="0.35">
      <c r="A169" s="2" t="s">
        <v>35</v>
      </c>
      <c r="B169" s="6">
        <v>36</v>
      </c>
      <c r="C169" s="6"/>
      <c r="D169" s="3">
        <f t="shared" ref="D169:D179" si="22">SUM(F169:G169)</f>
        <v>17</v>
      </c>
      <c r="E169" s="3">
        <f t="shared" si="20"/>
        <v>19</v>
      </c>
      <c r="F169" s="3">
        <v>16</v>
      </c>
      <c r="G169" s="4">
        <v>1</v>
      </c>
      <c r="H169" s="10">
        <f t="shared" si="21"/>
        <v>0.44444444444444442</v>
      </c>
    </row>
    <row r="170" spans="1:8" x14ac:dyDescent="0.35">
      <c r="A170" s="2" t="s">
        <v>36</v>
      </c>
      <c r="B170" s="6">
        <v>12</v>
      </c>
      <c r="C170" s="6"/>
      <c r="D170" s="3">
        <f t="shared" si="22"/>
        <v>2</v>
      </c>
      <c r="E170" s="3">
        <f t="shared" si="20"/>
        <v>10</v>
      </c>
      <c r="F170" s="3">
        <v>2</v>
      </c>
      <c r="G170" s="4">
        <v>0</v>
      </c>
      <c r="H170" s="10">
        <f t="shared" si="21"/>
        <v>0.16666666666666666</v>
      </c>
    </row>
    <row r="171" spans="1:8" x14ac:dyDescent="0.35">
      <c r="A171" s="5" t="s">
        <v>1</v>
      </c>
      <c r="B171" s="7">
        <f>SUM(B167:B170)</f>
        <v>127</v>
      </c>
      <c r="C171" s="7"/>
      <c r="D171" s="3">
        <f t="shared" si="22"/>
        <v>40</v>
      </c>
      <c r="E171" s="3">
        <f t="shared" si="20"/>
        <v>87</v>
      </c>
      <c r="F171" s="7">
        <f>SUM(F167:F170)</f>
        <v>31</v>
      </c>
      <c r="G171" s="7">
        <f>SUM(G167:G170)</f>
        <v>9</v>
      </c>
      <c r="H171" s="11">
        <f t="shared" si="21"/>
        <v>0.24409448818897639</v>
      </c>
    </row>
    <row r="172" spans="1:8" s="20" customFormat="1" x14ac:dyDescent="0.35">
      <c r="A172" s="15" t="s">
        <v>37</v>
      </c>
      <c r="B172" s="16">
        <v>45</v>
      </c>
      <c r="C172" s="19"/>
      <c r="D172" s="3">
        <f t="shared" si="22"/>
        <v>44</v>
      </c>
      <c r="E172" s="3">
        <f t="shared" si="20"/>
        <v>1</v>
      </c>
      <c r="F172" s="17">
        <v>42</v>
      </c>
      <c r="G172" s="16">
        <v>2</v>
      </c>
      <c r="H172" s="18">
        <f t="shared" si="21"/>
        <v>0.93333333333333335</v>
      </c>
    </row>
    <row r="173" spans="1:8" x14ac:dyDescent="0.35">
      <c r="A173" s="15" t="s">
        <v>38</v>
      </c>
      <c r="B173" s="16">
        <v>30</v>
      </c>
      <c r="C173" s="16"/>
      <c r="D173" s="17">
        <f t="shared" si="22"/>
        <v>28</v>
      </c>
      <c r="E173" s="17">
        <f t="shared" si="20"/>
        <v>2</v>
      </c>
      <c r="F173" s="17">
        <v>27</v>
      </c>
      <c r="G173" s="16">
        <v>1</v>
      </c>
      <c r="H173" s="18">
        <f t="shared" si="21"/>
        <v>0.9</v>
      </c>
    </row>
    <row r="174" spans="1:8" x14ac:dyDescent="0.35">
      <c r="A174" s="2" t="s">
        <v>39</v>
      </c>
      <c r="B174" s="6">
        <v>22</v>
      </c>
      <c r="C174" s="6"/>
      <c r="D174" s="3">
        <f t="shared" si="22"/>
        <v>13</v>
      </c>
      <c r="E174" s="3">
        <f t="shared" si="20"/>
        <v>9</v>
      </c>
      <c r="F174" s="3">
        <v>11</v>
      </c>
      <c r="G174" s="4">
        <v>2</v>
      </c>
      <c r="H174" s="10">
        <f t="shared" si="21"/>
        <v>0.5</v>
      </c>
    </row>
    <row r="175" spans="1:8" x14ac:dyDescent="0.35">
      <c r="A175" s="15" t="s">
        <v>40</v>
      </c>
      <c r="B175" s="16">
        <v>16</v>
      </c>
      <c r="C175" s="16"/>
      <c r="D175" s="3">
        <f t="shared" si="22"/>
        <v>16</v>
      </c>
      <c r="E175" s="3">
        <f t="shared" si="20"/>
        <v>0</v>
      </c>
      <c r="F175" s="17">
        <v>16</v>
      </c>
      <c r="G175" s="16">
        <v>0</v>
      </c>
      <c r="H175" s="18">
        <f t="shared" si="21"/>
        <v>1</v>
      </c>
    </row>
    <row r="176" spans="1:8" x14ac:dyDescent="0.35">
      <c r="A176" s="5" t="s">
        <v>1</v>
      </c>
      <c r="B176" s="7">
        <f>SUM(B172:B175)</f>
        <v>113</v>
      </c>
      <c r="C176" s="7"/>
      <c r="D176" s="3">
        <f t="shared" si="22"/>
        <v>101</v>
      </c>
      <c r="E176" s="3">
        <f t="shared" si="20"/>
        <v>12</v>
      </c>
      <c r="F176" s="7">
        <f>SUM(F172:F175)</f>
        <v>96</v>
      </c>
      <c r="G176" s="7">
        <f>SUM(G172:G175)</f>
        <v>5</v>
      </c>
      <c r="H176" s="11">
        <f t="shared" si="21"/>
        <v>0.84955752212389379</v>
      </c>
    </row>
    <row r="177" spans="1:8" x14ac:dyDescent="0.35">
      <c r="A177" s="2" t="s">
        <v>41</v>
      </c>
      <c r="B177" s="6">
        <v>32</v>
      </c>
      <c r="C177" s="6"/>
      <c r="D177" s="3">
        <f t="shared" si="22"/>
        <v>0</v>
      </c>
      <c r="E177" s="3">
        <f t="shared" si="20"/>
        <v>32</v>
      </c>
      <c r="F177" s="3">
        <v>0</v>
      </c>
      <c r="G177" s="4">
        <v>0</v>
      </c>
      <c r="H177" s="10">
        <f t="shared" si="21"/>
        <v>0</v>
      </c>
    </row>
    <row r="178" spans="1:8" x14ac:dyDescent="0.35">
      <c r="A178" s="2" t="s">
        <v>42</v>
      </c>
      <c r="B178" s="6">
        <v>12</v>
      </c>
      <c r="C178" s="6"/>
      <c r="D178" s="3">
        <f t="shared" si="22"/>
        <v>7</v>
      </c>
      <c r="E178" s="3">
        <f t="shared" si="20"/>
        <v>5</v>
      </c>
      <c r="F178" s="3">
        <v>7</v>
      </c>
      <c r="G178" s="4">
        <v>0</v>
      </c>
      <c r="H178" s="10">
        <f t="shared" si="21"/>
        <v>0.58333333333333337</v>
      </c>
    </row>
    <row r="179" spans="1:8" x14ac:dyDescent="0.35">
      <c r="A179" s="2" t="s">
        <v>43</v>
      </c>
      <c r="B179" s="6">
        <v>15</v>
      </c>
      <c r="C179" s="6"/>
      <c r="D179" s="3">
        <f t="shared" si="22"/>
        <v>4</v>
      </c>
      <c r="E179" s="3">
        <f t="shared" si="20"/>
        <v>11</v>
      </c>
      <c r="F179" s="3">
        <v>2</v>
      </c>
      <c r="G179" s="4">
        <v>2</v>
      </c>
      <c r="H179" s="10">
        <f t="shared" si="21"/>
        <v>0.13333333333333333</v>
      </c>
    </row>
    <row r="180" spans="1:8" x14ac:dyDescent="0.35">
      <c r="A180" s="2" t="s">
        <v>44</v>
      </c>
      <c r="B180" s="6">
        <v>9</v>
      </c>
      <c r="C180" s="6"/>
      <c r="D180" s="3">
        <f>SUM(F180:G180)</f>
        <v>3</v>
      </c>
      <c r="E180" s="3">
        <f>B180-D180</f>
        <v>6</v>
      </c>
      <c r="F180" s="3">
        <v>3</v>
      </c>
      <c r="G180" s="4">
        <v>0</v>
      </c>
      <c r="H180" s="10">
        <f>F180/B180</f>
        <v>0.33333333333333331</v>
      </c>
    </row>
    <row r="181" spans="1:8" x14ac:dyDescent="0.35">
      <c r="A181" s="2" t="s">
        <v>45</v>
      </c>
      <c r="B181" s="6">
        <v>14</v>
      </c>
      <c r="C181" s="6"/>
      <c r="D181" s="3">
        <f t="shared" ref="D181:D212" si="23">SUM(F181:G181)</f>
        <v>12</v>
      </c>
      <c r="E181" s="3">
        <f t="shared" si="20"/>
        <v>2</v>
      </c>
      <c r="F181" s="3">
        <v>9</v>
      </c>
      <c r="G181" s="4">
        <v>3</v>
      </c>
      <c r="H181" s="10">
        <f t="shared" si="21"/>
        <v>0.6428571428571429</v>
      </c>
    </row>
    <row r="182" spans="1:8" x14ac:dyDescent="0.35">
      <c r="A182" s="5" t="s">
        <v>1</v>
      </c>
      <c r="B182" s="7">
        <f>SUM(B177:B181)</f>
        <v>82</v>
      </c>
      <c r="C182" s="7"/>
      <c r="D182" s="3">
        <f t="shared" si="23"/>
        <v>26</v>
      </c>
      <c r="E182" s="3">
        <f t="shared" si="20"/>
        <v>56</v>
      </c>
      <c r="F182" s="7">
        <f>SUM(F177:F181)</f>
        <v>21</v>
      </c>
      <c r="G182" s="7">
        <f>SUM(G177:G181)</f>
        <v>5</v>
      </c>
      <c r="H182" s="11">
        <f t="shared" si="21"/>
        <v>0.25609756097560976</v>
      </c>
    </row>
    <row r="183" spans="1:8" x14ac:dyDescent="0.35">
      <c r="A183" s="2" t="s">
        <v>46</v>
      </c>
      <c r="B183" s="6">
        <v>31</v>
      </c>
      <c r="C183" s="6"/>
      <c r="D183" s="3">
        <f t="shared" si="23"/>
        <v>29</v>
      </c>
      <c r="E183" s="3">
        <f t="shared" si="20"/>
        <v>2</v>
      </c>
      <c r="F183" s="3">
        <v>24</v>
      </c>
      <c r="G183" s="4">
        <v>5</v>
      </c>
      <c r="H183" s="10">
        <f t="shared" si="21"/>
        <v>0.77419354838709675</v>
      </c>
    </row>
    <row r="184" spans="1:8" x14ac:dyDescent="0.35">
      <c r="A184" s="15" t="s">
        <v>47</v>
      </c>
      <c r="B184" s="16">
        <v>31</v>
      </c>
      <c r="C184" s="16"/>
      <c r="D184" s="17">
        <f t="shared" si="23"/>
        <v>31</v>
      </c>
      <c r="E184" s="17">
        <f t="shared" si="20"/>
        <v>0</v>
      </c>
      <c r="F184" s="17">
        <v>29</v>
      </c>
      <c r="G184" s="16">
        <v>2</v>
      </c>
      <c r="H184" s="18">
        <f t="shared" si="21"/>
        <v>0.93548387096774188</v>
      </c>
    </row>
    <row r="185" spans="1:8" x14ac:dyDescent="0.35">
      <c r="A185" s="2" t="s">
        <v>48</v>
      </c>
      <c r="B185" s="6">
        <v>39</v>
      </c>
      <c r="C185" s="6"/>
      <c r="D185" s="3">
        <f t="shared" si="23"/>
        <v>36</v>
      </c>
      <c r="E185" s="3">
        <f t="shared" si="20"/>
        <v>3</v>
      </c>
      <c r="F185" s="3">
        <v>28</v>
      </c>
      <c r="G185" s="4">
        <v>8</v>
      </c>
      <c r="H185" s="10">
        <f t="shared" si="21"/>
        <v>0.71794871794871795</v>
      </c>
    </row>
    <row r="186" spans="1:8" x14ac:dyDescent="0.35">
      <c r="A186" s="2" t="s">
        <v>49</v>
      </c>
      <c r="B186" s="6">
        <v>16</v>
      </c>
      <c r="C186" s="6"/>
      <c r="D186" s="3">
        <f t="shared" si="23"/>
        <v>14</v>
      </c>
      <c r="E186" s="3">
        <f t="shared" si="20"/>
        <v>2</v>
      </c>
      <c r="F186" s="3">
        <v>11</v>
      </c>
      <c r="G186" s="4">
        <v>3</v>
      </c>
      <c r="H186" s="10">
        <f t="shared" si="21"/>
        <v>0.6875</v>
      </c>
    </row>
    <row r="187" spans="1:8" x14ac:dyDescent="0.35">
      <c r="A187" s="5" t="s">
        <v>1</v>
      </c>
      <c r="B187" s="7">
        <f>SUM(B183:B186)</f>
        <v>117</v>
      </c>
      <c r="C187" s="7"/>
      <c r="D187" s="3">
        <f t="shared" si="23"/>
        <v>110</v>
      </c>
      <c r="E187" s="3">
        <f t="shared" si="20"/>
        <v>7</v>
      </c>
      <c r="F187" s="7">
        <f>SUM(F183:F186)</f>
        <v>92</v>
      </c>
      <c r="G187" s="7">
        <f>SUM(G183:G186)</f>
        <v>18</v>
      </c>
      <c r="H187" s="11">
        <f t="shared" si="21"/>
        <v>0.78632478632478631</v>
      </c>
    </row>
    <row r="188" spans="1:8" x14ac:dyDescent="0.35">
      <c r="A188" s="5" t="s">
        <v>50</v>
      </c>
      <c r="B188" s="7">
        <f>SUM(B166,B171,B176,B182,B187)</f>
        <v>568</v>
      </c>
      <c r="C188" s="7"/>
      <c r="D188" s="3">
        <f t="shared" si="23"/>
        <v>379</v>
      </c>
      <c r="E188" s="3">
        <f t="shared" si="20"/>
        <v>189</v>
      </c>
      <c r="F188" s="7">
        <f>SUM(F166,F171,F176,F182,F187)</f>
        <v>325</v>
      </c>
      <c r="G188" s="7">
        <f>SUM(G166,G171,G176,G182,G187)</f>
        <v>54</v>
      </c>
      <c r="H188" s="11">
        <f t="shared" si="21"/>
        <v>0.57218309859154926</v>
      </c>
    </row>
    <row r="189" spans="1:8" x14ac:dyDescent="0.35">
      <c r="A189" s="2" t="s">
        <v>185</v>
      </c>
      <c r="B189" s="6">
        <v>32</v>
      </c>
      <c r="C189" s="6"/>
      <c r="D189" s="3">
        <f t="shared" si="23"/>
        <v>28</v>
      </c>
      <c r="E189" s="3">
        <f t="shared" si="20"/>
        <v>4</v>
      </c>
      <c r="F189" s="3">
        <v>24</v>
      </c>
      <c r="G189" s="4">
        <v>4</v>
      </c>
      <c r="H189" s="10">
        <f t="shared" si="21"/>
        <v>0.75</v>
      </c>
    </row>
    <row r="190" spans="1:8" x14ac:dyDescent="0.35">
      <c r="A190" s="15" t="s">
        <v>186</v>
      </c>
      <c r="B190" s="16">
        <v>19</v>
      </c>
      <c r="C190" s="16"/>
      <c r="D190" s="17">
        <f t="shared" si="23"/>
        <v>18</v>
      </c>
      <c r="E190" s="17">
        <f t="shared" si="20"/>
        <v>1</v>
      </c>
      <c r="F190" s="17">
        <v>18</v>
      </c>
      <c r="G190" s="17">
        <v>0</v>
      </c>
      <c r="H190" s="18">
        <f t="shared" si="21"/>
        <v>0.94736842105263153</v>
      </c>
    </row>
    <row r="191" spans="1:8" x14ac:dyDescent="0.35">
      <c r="A191" s="2" t="s">
        <v>187</v>
      </c>
      <c r="B191" s="6">
        <v>25</v>
      </c>
      <c r="C191" s="6"/>
      <c r="D191" s="3">
        <f t="shared" si="23"/>
        <v>13</v>
      </c>
      <c r="E191" s="3">
        <f t="shared" si="20"/>
        <v>12</v>
      </c>
      <c r="F191" s="3">
        <v>11</v>
      </c>
      <c r="G191" s="3">
        <v>2</v>
      </c>
      <c r="H191" s="10">
        <f t="shared" si="21"/>
        <v>0.44</v>
      </c>
    </row>
    <row r="192" spans="1:8" x14ac:dyDescent="0.35">
      <c r="A192" s="2" t="s">
        <v>188</v>
      </c>
      <c r="B192" s="6">
        <v>19</v>
      </c>
      <c r="C192" s="6"/>
      <c r="D192" s="3">
        <f t="shared" si="23"/>
        <v>4</v>
      </c>
      <c r="E192" s="3">
        <f t="shared" si="20"/>
        <v>15</v>
      </c>
      <c r="F192" s="3">
        <v>2</v>
      </c>
      <c r="G192" s="3">
        <v>2</v>
      </c>
      <c r="H192" s="10">
        <f t="shared" si="21"/>
        <v>0.10526315789473684</v>
      </c>
    </row>
    <row r="193" spans="1:8" x14ac:dyDescent="0.35">
      <c r="A193" s="15" t="s">
        <v>189</v>
      </c>
      <c r="B193" s="16" t="s">
        <v>190</v>
      </c>
      <c r="C193" s="16">
        <v>21</v>
      </c>
      <c r="D193" s="17">
        <f t="shared" si="23"/>
        <v>21</v>
      </c>
      <c r="E193" s="17">
        <f>C193-D193</f>
        <v>0</v>
      </c>
      <c r="F193" s="17">
        <v>21</v>
      </c>
      <c r="G193" s="17">
        <v>0</v>
      </c>
      <c r="H193" s="18">
        <f>F193/C193</f>
        <v>1</v>
      </c>
    </row>
    <row r="194" spans="1:8" x14ac:dyDescent="0.35">
      <c r="A194" s="2" t="s">
        <v>191</v>
      </c>
      <c r="B194" s="6">
        <v>11</v>
      </c>
      <c r="C194" s="6"/>
      <c r="D194" s="3">
        <f t="shared" si="23"/>
        <v>6</v>
      </c>
      <c r="E194" s="3">
        <f t="shared" ref="E194:E211" si="24">B194-D194</f>
        <v>5</v>
      </c>
      <c r="F194" s="3">
        <v>2</v>
      </c>
      <c r="G194" s="3">
        <v>4</v>
      </c>
      <c r="H194" s="10">
        <f t="shared" ref="H194:H211" si="25">F194/B194</f>
        <v>0.18181818181818182</v>
      </c>
    </row>
    <row r="195" spans="1:8" x14ac:dyDescent="0.35">
      <c r="A195" s="5" t="s">
        <v>1</v>
      </c>
      <c r="B195" s="14">
        <f>SUM(B189:B192)+21+11</f>
        <v>127</v>
      </c>
      <c r="C195" s="14"/>
      <c r="D195" s="3">
        <f t="shared" si="23"/>
        <v>90</v>
      </c>
      <c r="E195" s="3">
        <f t="shared" si="24"/>
        <v>37</v>
      </c>
      <c r="F195" s="14">
        <f>SUM(F189:F194)</f>
        <v>78</v>
      </c>
      <c r="G195" s="14">
        <f>SUM(G189:G194)</f>
        <v>12</v>
      </c>
      <c r="H195" s="11">
        <f t="shared" si="25"/>
        <v>0.61417322834645671</v>
      </c>
    </row>
    <row r="196" spans="1:8" x14ac:dyDescent="0.35">
      <c r="A196" s="15" t="s">
        <v>192</v>
      </c>
      <c r="B196" s="16">
        <v>34</v>
      </c>
      <c r="C196" s="6"/>
      <c r="D196" s="3">
        <f t="shared" si="23"/>
        <v>33</v>
      </c>
      <c r="E196" s="3">
        <f t="shared" si="24"/>
        <v>1</v>
      </c>
      <c r="F196" s="17">
        <v>33</v>
      </c>
      <c r="G196" s="16">
        <v>0</v>
      </c>
      <c r="H196" s="18">
        <f t="shared" si="25"/>
        <v>0.97058823529411764</v>
      </c>
    </row>
    <row r="197" spans="1:8" x14ac:dyDescent="0.35">
      <c r="A197" s="2" t="s">
        <v>193</v>
      </c>
      <c r="B197" s="6">
        <v>32</v>
      </c>
      <c r="C197" s="6"/>
      <c r="D197" s="3">
        <f t="shared" si="23"/>
        <v>23</v>
      </c>
      <c r="E197" s="3">
        <f t="shared" si="24"/>
        <v>9</v>
      </c>
      <c r="F197" s="3">
        <v>11</v>
      </c>
      <c r="G197" s="4">
        <v>12</v>
      </c>
      <c r="H197" s="10">
        <f t="shared" si="25"/>
        <v>0.34375</v>
      </c>
    </row>
    <row r="198" spans="1:8" x14ac:dyDescent="0.35">
      <c r="A198" s="15" t="s">
        <v>194</v>
      </c>
      <c r="B198" s="16">
        <v>31</v>
      </c>
      <c r="C198" s="16"/>
      <c r="D198" s="3">
        <f t="shared" si="23"/>
        <v>29</v>
      </c>
      <c r="E198" s="3">
        <f t="shared" si="24"/>
        <v>2</v>
      </c>
      <c r="F198" s="17">
        <v>28</v>
      </c>
      <c r="G198" s="16">
        <v>1</v>
      </c>
      <c r="H198" s="18">
        <f t="shared" si="25"/>
        <v>0.90322580645161288</v>
      </c>
    </row>
    <row r="199" spans="1:8" x14ac:dyDescent="0.35">
      <c r="A199" s="2" t="s">
        <v>195</v>
      </c>
      <c r="B199" s="6">
        <v>29</v>
      </c>
      <c r="C199" s="6"/>
      <c r="D199" s="3">
        <f>SUM(F199:G199)</f>
        <v>25</v>
      </c>
      <c r="E199" s="3">
        <f>B199-D199</f>
        <v>4</v>
      </c>
      <c r="F199" s="3">
        <v>17</v>
      </c>
      <c r="G199" s="4">
        <v>8</v>
      </c>
      <c r="H199" s="10">
        <f>F199/B199</f>
        <v>0.58620689655172409</v>
      </c>
    </row>
    <row r="200" spans="1:8" x14ac:dyDescent="0.35">
      <c r="A200" s="15" t="s">
        <v>196</v>
      </c>
      <c r="B200" s="16">
        <v>8</v>
      </c>
      <c r="C200" s="16"/>
      <c r="D200" s="17">
        <f t="shared" si="23"/>
        <v>8</v>
      </c>
      <c r="E200" s="17">
        <f t="shared" si="24"/>
        <v>0</v>
      </c>
      <c r="F200" s="17">
        <v>8</v>
      </c>
      <c r="G200" s="16">
        <v>0</v>
      </c>
      <c r="H200" s="18">
        <f>F200/B200</f>
        <v>1</v>
      </c>
    </row>
    <row r="201" spans="1:8" x14ac:dyDescent="0.35">
      <c r="A201" s="15" t="s">
        <v>197</v>
      </c>
      <c r="B201" s="16">
        <v>9</v>
      </c>
      <c r="C201" s="16"/>
      <c r="D201" s="3">
        <f t="shared" si="23"/>
        <v>9</v>
      </c>
      <c r="E201" s="3">
        <f t="shared" si="24"/>
        <v>0</v>
      </c>
      <c r="F201" s="17">
        <v>9</v>
      </c>
      <c r="G201" s="16">
        <v>0</v>
      </c>
      <c r="H201" s="18">
        <f t="shared" si="25"/>
        <v>1</v>
      </c>
    </row>
    <row r="202" spans="1:8" x14ac:dyDescent="0.35">
      <c r="A202" s="5" t="s">
        <v>1</v>
      </c>
      <c r="B202" s="14">
        <f>SUM(B196:B201)</f>
        <v>143</v>
      </c>
      <c r="C202" s="14"/>
      <c r="D202" s="3">
        <f t="shared" si="23"/>
        <v>127</v>
      </c>
      <c r="E202" s="3">
        <f t="shared" si="24"/>
        <v>16</v>
      </c>
      <c r="F202" s="14">
        <f>SUM(F196:F201)</f>
        <v>106</v>
      </c>
      <c r="G202" s="14">
        <f>SUM(G196:G201)</f>
        <v>21</v>
      </c>
      <c r="H202" s="11">
        <f t="shared" si="25"/>
        <v>0.74125874125874125</v>
      </c>
    </row>
    <row r="203" spans="1:8" x14ac:dyDescent="0.35">
      <c r="A203" s="2" t="s">
        <v>198</v>
      </c>
      <c r="B203" s="6">
        <v>45</v>
      </c>
      <c r="C203" s="6"/>
      <c r="D203" s="3">
        <f t="shared" si="23"/>
        <v>39</v>
      </c>
      <c r="E203" s="3">
        <f t="shared" si="24"/>
        <v>6</v>
      </c>
      <c r="F203" s="3">
        <v>32</v>
      </c>
      <c r="G203" s="4">
        <v>7</v>
      </c>
      <c r="H203" s="10">
        <f t="shared" si="25"/>
        <v>0.71111111111111114</v>
      </c>
    </row>
    <row r="204" spans="1:8" x14ac:dyDescent="0.35">
      <c r="A204" s="2" t="s">
        <v>199</v>
      </c>
      <c r="B204" s="6">
        <v>33</v>
      </c>
      <c r="C204" s="6"/>
      <c r="D204" s="3">
        <f t="shared" si="23"/>
        <v>24</v>
      </c>
      <c r="E204" s="3">
        <f t="shared" si="24"/>
        <v>9</v>
      </c>
      <c r="F204" s="3">
        <v>23</v>
      </c>
      <c r="G204" s="4">
        <v>1</v>
      </c>
      <c r="H204" s="10">
        <f t="shared" si="25"/>
        <v>0.69696969696969702</v>
      </c>
    </row>
    <row r="205" spans="1:8" x14ac:dyDescent="0.35">
      <c r="A205" s="5" t="s">
        <v>1</v>
      </c>
      <c r="B205" s="14">
        <f>SUM(B203:B204)</f>
        <v>78</v>
      </c>
      <c r="C205" s="14"/>
      <c r="D205" s="3">
        <f t="shared" si="23"/>
        <v>63</v>
      </c>
      <c r="E205" s="3">
        <f t="shared" si="24"/>
        <v>15</v>
      </c>
      <c r="F205" s="14">
        <f>SUM(F203:F204)</f>
        <v>55</v>
      </c>
      <c r="G205" s="14">
        <f>SUM(G203:G204)</f>
        <v>8</v>
      </c>
      <c r="H205" s="11">
        <f t="shared" si="25"/>
        <v>0.70512820512820518</v>
      </c>
    </row>
    <row r="206" spans="1:8" x14ac:dyDescent="0.35">
      <c r="A206" s="2" t="s">
        <v>200</v>
      </c>
      <c r="B206" s="6">
        <v>38</v>
      </c>
      <c r="C206" s="6"/>
      <c r="D206" s="3">
        <f t="shared" si="23"/>
        <v>31</v>
      </c>
      <c r="E206" s="3">
        <f t="shared" si="24"/>
        <v>7</v>
      </c>
      <c r="F206" s="3">
        <v>26</v>
      </c>
      <c r="G206" s="4">
        <v>5</v>
      </c>
      <c r="H206" s="10">
        <f t="shared" si="25"/>
        <v>0.68421052631578949</v>
      </c>
    </row>
    <row r="207" spans="1:8" x14ac:dyDescent="0.35">
      <c r="A207" s="15" t="s">
        <v>201</v>
      </c>
      <c r="B207" s="16">
        <v>14</v>
      </c>
      <c r="C207" s="6"/>
      <c r="D207" s="3">
        <f t="shared" si="23"/>
        <v>13</v>
      </c>
      <c r="E207" s="3">
        <f t="shared" si="24"/>
        <v>1</v>
      </c>
      <c r="F207" s="17">
        <v>13</v>
      </c>
      <c r="G207" s="16">
        <v>0</v>
      </c>
      <c r="H207" s="18">
        <f t="shared" si="25"/>
        <v>0.9285714285714286</v>
      </c>
    </row>
    <row r="208" spans="1:8" x14ac:dyDescent="0.35">
      <c r="A208" s="5" t="s">
        <v>1</v>
      </c>
      <c r="B208" s="14">
        <f>SUM(B206:B207)</f>
        <v>52</v>
      </c>
      <c r="C208" s="14"/>
      <c r="D208" s="3">
        <f t="shared" si="23"/>
        <v>44</v>
      </c>
      <c r="E208" s="3">
        <f t="shared" si="24"/>
        <v>8</v>
      </c>
      <c r="F208" s="14">
        <f>SUM(F206:F207)</f>
        <v>39</v>
      </c>
      <c r="G208" s="14">
        <f>SUM(G206:G207)</f>
        <v>5</v>
      </c>
      <c r="H208" s="11">
        <f t="shared" si="25"/>
        <v>0.75</v>
      </c>
    </row>
    <row r="209" spans="1:8" x14ac:dyDescent="0.35">
      <c r="A209" s="5" t="s">
        <v>202</v>
      </c>
      <c r="B209" s="14">
        <f>SUM(B195,B202,B205,B208)</f>
        <v>400</v>
      </c>
      <c r="C209" s="14"/>
      <c r="D209" s="3">
        <f t="shared" si="23"/>
        <v>324</v>
      </c>
      <c r="E209" s="3">
        <f t="shared" si="24"/>
        <v>76</v>
      </c>
      <c r="F209" s="14">
        <f>SUM(F195,F202,F205,F208)</f>
        <v>278</v>
      </c>
      <c r="G209" s="14">
        <f>SUM(G195,G202,G205,G208)</f>
        <v>46</v>
      </c>
      <c r="H209" s="11">
        <f t="shared" si="25"/>
        <v>0.69499999999999995</v>
      </c>
    </row>
    <row r="210" spans="1:8" x14ac:dyDescent="0.35">
      <c r="A210" s="2" t="s">
        <v>51</v>
      </c>
      <c r="B210" s="6">
        <v>26</v>
      </c>
      <c r="C210" s="6"/>
      <c r="D210" s="3">
        <f t="shared" si="23"/>
        <v>25</v>
      </c>
      <c r="E210" s="3">
        <f t="shared" si="24"/>
        <v>1</v>
      </c>
      <c r="F210" s="3">
        <v>21</v>
      </c>
      <c r="G210" s="4">
        <v>4</v>
      </c>
      <c r="H210" s="10">
        <f t="shared" si="25"/>
        <v>0.80769230769230771</v>
      </c>
    </row>
    <row r="211" spans="1:8" x14ac:dyDescent="0.35">
      <c r="A211" s="2" t="s">
        <v>52</v>
      </c>
      <c r="B211" s="6">
        <v>41</v>
      </c>
      <c r="C211" s="6"/>
      <c r="D211" s="3">
        <f t="shared" si="23"/>
        <v>24</v>
      </c>
      <c r="E211" s="3">
        <f t="shared" si="24"/>
        <v>17</v>
      </c>
      <c r="F211" s="3">
        <v>19</v>
      </c>
      <c r="G211" s="4">
        <v>5</v>
      </c>
      <c r="H211" s="10">
        <f t="shared" si="25"/>
        <v>0.46341463414634149</v>
      </c>
    </row>
    <row r="212" spans="1:8" x14ac:dyDescent="0.35">
      <c r="A212" s="2" t="s">
        <v>53</v>
      </c>
      <c r="B212" s="6" t="s">
        <v>203</v>
      </c>
      <c r="C212" s="6">
        <v>52</v>
      </c>
      <c r="D212" s="3">
        <f t="shared" si="23"/>
        <v>29</v>
      </c>
      <c r="E212" s="3">
        <f>C212-D212</f>
        <v>23</v>
      </c>
      <c r="F212" s="3">
        <v>27</v>
      </c>
      <c r="G212" s="4">
        <v>2</v>
      </c>
      <c r="H212" s="10">
        <f>F212/C212</f>
        <v>0.51923076923076927</v>
      </c>
    </row>
    <row r="213" spans="1:8" x14ac:dyDescent="0.35">
      <c r="A213" s="2" t="s">
        <v>54</v>
      </c>
      <c r="B213" s="6">
        <v>35</v>
      </c>
      <c r="C213" s="6"/>
      <c r="D213" s="3">
        <f t="shared" ref="D213:D233" si="26">SUM(F213:G213)</f>
        <v>7</v>
      </c>
      <c r="E213" s="3">
        <f t="shared" ref="E213:E221" si="27">B213-D213</f>
        <v>28</v>
      </c>
      <c r="F213" s="3">
        <v>6</v>
      </c>
      <c r="G213" s="4">
        <v>1</v>
      </c>
      <c r="H213" s="10">
        <f t="shared" ref="H213:H221" si="28">F213/B213</f>
        <v>0.17142857142857143</v>
      </c>
    </row>
    <row r="214" spans="1:8" x14ac:dyDescent="0.35">
      <c r="A214" s="5" t="s">
        <v>1</v>
      </c>
      <c r="B214" s="7">
        <f>26+41+52+35</f>
        <v>154</v>
      </c>
      <c r="C214" s="7"/>
      <c r="D214" s="3">
        <f t="shared" si="26"/>
        <v>85</v>
      </c>
      <c r="E214" s="3">
        <f t="shared" si="27"/>
        <v>69</v>
      </c>
      <c r="F214" s="7">
        <f>SUM(F210:F213)</f>
        <v>73</v>
      </c>
      <c r="G214" s="7">
        <f>SUM(G210:G213)</f>
        <v>12</v>
      </c>
      <c r="H214" s="11">
        <f t="shared" si="28"/>
        <v>0.47402597402597402</v>
      </c>
    </row>
    <row r="215" spans="1:8" x14ac:dyDescent="0.35">
      <c r="A215" s="2" t="s">
        <v>55</v>
      </c>
      <c r="B215" s="6">
        <v>14</v>
      </c>
      <c r="C215" s="6"/>
      <c r="D215" s="3">
        <f t="shared" si="26"/>
        <v>6</v>
      </c>
      <c r="E215" s="3">
        <f t="shared" si="27"/>
        <v>8</v>
      </c>
      <c r="F215" s="3">
        <v>6</v>
      </c>
      <c r="G215" s="4">
        <v>0</v>
      </c>
      <c r="H215" s="10">
        <f t="shared" si="28"/>
        <v>0.42857142857142855</v>
      </c>
    </row>
    <row r="216" spans="1:8" x14ac:dyDescent="0.35">
      <c r="A216" s="2" t="s">
        <v>56</v>
      </c>
      <c r="B216" s="6">
        <v>14</v>
      </c>
      <c r="C216" s="6"/>
      <c r="D216" s="3">
        <f t="shared" si="26"/>
        <v>13</v>
      </c>
      <c r="E216" s="3">
        <f t="shared" si="27"/>
        <v>1</v>
      </c>
      <c r="F216" s="3">
        <v>7</v>
      </c>
      <c r="G216" s="4">
        <v>6</v>
      </c>
      <c r="H216" s="10">
        <f t="shared" si="28"/>
        <v>0.5</v>
      </c>
    </row>
    <row r="217" spans="1:8" x14ac:dyDescent="0.35">
      <c r="A217" s="2" t="s">
        <v>57</v>
      </c>
      <c r="B217" s="6">
        <v>35</v>
      </c>
      <c r="C217" s="6"/>
      <c r="D217" s="3">
        <f t="shared" si="26"/>
        <v>24</v>
      </c>
      <c r="E217" s="3">
        <f t="shared" si="27"/>
        <v>11</v>
      </c>
      <c r="F217" s="3">
        <v>18</v>
      </c>
      <c r="G217" s="4">
        <v>6</v>
      </c>
      <c r="H217" s="10">
        <f t="shared" si="28"/>
        <v>0.51428571428571423</v>
      </c>
    </row>
    <row r="218" spans="1:8" x14ac:dyDescent="0.35">
      <c r="A218" s="2" t="s">
        <v>58</v>
      </c>
      <c r="B218" s="6">
        <v>20</v>
      </c>
      <c r="C218" s="6"/>
      <c r="D218" s="3">
        <f>SUM(F218:G218)</f>
        <v>10</v>
      </c>
      <c r="E218" s="3">
        <f>B218-D218</f>
        <v>10</v>
      </c>
      <c r="F218" s="3">
        <v>9</v>
      </c>
      <c r="G218" s="4">
        <v>1</v>
      </c>
      <c r="H218" s="10">
        <f>F218/B218</f>
        <v>0.45</v>
      </c>
    </row>
    <row r="219" spans="1:8" x14ac:dyDescent="0.35">
      <c r="A219" s="2" t="s">
        <v>59</v>
      </c>
      <c r="B219" s="6">
        <v>19</v>
      </c>
      <c r="C219" s="6"/>
      <c r="D219" s="3">
        <f t="shared" si="26"/>
        <v>5</v>
      </c>
      <c r="E219" s="3">
        <f t="shared" si="27"/>
        <v>14</v>
      </c>
      <c r="F219" s="3">
        <v>5</v>
      </c>
      <c r="G219" s="4">
        <v>0</v>
      </c>
      <c r="H219" s="10">
        <f t="shared" si="28"/>
        <v>0.26315789473684209</v>
      </c>
    </row>
    <row r="220" spans="1:8" x14ac:dyDescent="0.35">
      <c r="A220" s="5" t="s">
        <v>1</v>
      </c>
      <c r="B220" s="7">
        <f>SUM(B215:B219)</f>
        <v>102</v>
      </c>
      <c r="C220" s="7"/>
      <c r="D220" s="3">
        <f t="shared" si="26"/>
        <v>58</v>
      </c>
      <c r="E220" s="3">
        <f t="shared" si="27"/>
        <v>44</v>
      </c>
      <c r="F220" s="7">
        <f>SUM(F215:F219)</f>
        <v>45</v>
      </c>
      <c r="G220" s="7">
        <f>SUM(G215:G219)</f>
        <v>13</v>
      </c>
      <c r="H220" s="11">
        <f t="shared" si="28"/>
        <v>0.44117647058823528</v>
      </c>
    </row>
    <row r="221" spans="1:8" x14ac:dyDescent="0.35">
      <c r="A221" s="2" t="s">
        <v>60</v>
      </c>
      <c r="B221" s="6">
        <v>9</v>
      </c>
      <c r="C221" s="6"/>
      <c r="D221" s="3">
        <f t="shared" si="26"/>
        <v>8</v>
      </c>
      <c r="E221" s="3">
        <f t="shared" si="27"/>
        <v>1</v>
      </c>
      <c r="F221" s="3">
        <v>6</v>
      </c>
      <c r="G221" s="4">
        <v>2</v>
      </c>
      <c r="H221" s="10">
        <f t="shared" si="28"/>
        <v>0.66666666666666663</v>
      </c>
    </row>
    <row r="222" spans="1:8" x14ac:dyDescent="0.35">
      <c r="A222" s="15" t="s">
        <v>61</v>
      </c>
      <c r="B222" s="16" t="s">
        <v>204</v>
      </c>
      <c r="C222" s="16">
        <v>15</v>
      </c>
      <c r="D222" s="17">
        <f t="shared" si="26"/>
        <v>14</v>
      </c>
      <c r="E222" s="17">
        <f>C222-D222</f>
        <v>1</v>
      </c>
      <c r="F222" s="17">
        <v>14</v>
      </c>
      <c r="G222" s="16">
        <v>0</v>
      </c>
      <c r="H222" s="18">
        <f>F222/C222</f>
        <v>0.93333333333333335</v>
      </c>
    </row>
    <row r="223" spans="1:8" s="20" customFormat="1" x14ac:dyDescent="0.35">
      <c r="A223" s="33" t="s">
        <v>62</v>
      </c>
      <c r="B223" s="19">
        <v>24</v>
      </c>
      <c r="C223" s="19"/>
      <c r="D223" s="34">
        <f t="shared" si="26"/>
        <v>0</v>
      </c>
      <c r="E223" s="34">
        <f t="shared" ref="E223:E232" si="29">B223-D223</f>
        <v>24</v>
      </c>
      <c r="F223" s="34">
        <v>0</v>
      </c>
      <c r="G223" s="19">
        <v>0</v>
      </c>
      <c r="H223" s="35">
        <f t="shared" ref="H223:H232" si="30">F223/B223</f>
        <v>0</v>
      </c>
    </row>
    <row r="224" spans="1:8" x14ac:dyDescent="0.35">
      <c r="A224" s="2" t="s">
        <v>63</v>
      </c>
      <c r="B224" s="6">
        <v>15</v>
      </c>
      <c r="C224" s="6"/>
      <c r="D224" s="3">
        <f t="shared" si="26"/>
        <v>5</v>
      </c>
      <c r="E224" s="3">
        <f t="shared" si="29"/>
        <v>10</v>
      </c>
      <c r="F224" s="3">
        <v>4</v>
      </c>
      <c r="G224" s="4">
        <v>1</v>
      </c>
      <c r="H224" s="10">
        <f t="shared" si="30"/>
        <v>0.26666666666666666</v>
      </c>
    </row>
    <row r="225" spans="1:8" x14ac:dyDescent="0.35">
      <c r="A225" s="5" t="s">
        <v>1</v>
      </c>
      <c r="B225" s="7">
        <f>9+15+24+15</f>
        <v>63</v>
      </c>
      <c r="C225" s="7"/>
      <c r="D225" s="3">
        <f t="shared" si="26"/>
        <v>27</v>
      </c>
      <c r="E225" s="3">
        <f t="shared" si="29"/>
        <v>36</v>
      </c>
      <c r="F225" s="7">
        <f>SUM(F221:F224)</f>
        <v>24</v>
      </c>
      <c r="G225" s="7">
        <f>SUM(G221:G224)</f>
        <v>3</v>
      </c>
      <c r="H225" s="11">
        <f t="shared" si="30"/>
        <v>0.38095238095238093</v>
      </c>
    </row>
    <row r="226" spans="1:8" x14ac:dyDescent="0.35">
      <c r="A226" s="2" t="s">
        <v>64</v>
      </c>
      <c r="B226" s="6">
        <v>39</v>
      </c>
      <c r="C226" s="6"/>
      <c r="D226" s="3">
        <f t="shared" si="26"/>
        <v>18</v>
      </c>
      <c r="E226" s="3">
        <f t="shared" si="29"/>
        <v>21</v>
      </c>
      <c r="F226" s="3">
        <v>14</v>
      </c>
      <c r="G226" s="4">
        <v>4</v>
      </c>
      <c r="H226" s="10">
        <f t="shared" si="30"/>
        <v>0.35897435897435898</v>
      </c>
    </row>
    <row r="227" spans="1:8" x14ac:dyDescent="0.35">
      <c r="A227" s="15" t="s">
        <v>65</v>
      </c>
      <c r="B227" s="16">
        <v>11</v>
      </c>
      <c r="C227" s="16"/>
      <c r="D227" s="3">
        <f t="shared" si="26"/>
        <v>11</v>
      </c>
      <c r="E227" s="3">
        <f t="shared" si="29"/>
        <v>0</v>
      </c>
      <c r="F227" s="17">
        <v>11</v>
      </c>
      <c r="G227" s="16">
        <v>0</v>
      </c>
      <c r="H227" s="18">
        <f t="shared" si="30"/>
        <v>1</v>
      </c>
    </row>
    <row r="228" spans="1:8" x14ac:dyDescent="0.35">
      <c r="A228" s="2" t="s">
        <v>66</v>
      </c>
      <c r="B228" s="6">
        <v>34</v>
      </c>
      <c r="C228" s="6"/>
      <c r="D228" s="3">
        <f t="shared" si="26"/>
        <v>9</v>
      </c>
      <c r="E228" s="3">
        <f t="shared" si="29"/>
        <v>25</v>
      </c>
      <c r="F228" s="3">
        <v>8</v>
      </c>
      <c r="G228" s="4">
        <v>1</v>
      </c>
      <c r="H228" s="10">
        <f t="shared" si="30"/>
        <v>0.23529411764705882</v>
      </c>
    </row>
    <row r="229" spans="1:8" x14ac:dyDescent="0.35">
      <c r="A229" s="5" t="s">
        <v>1</v>
      </c>
      <c r="B229" s="7">
        <f>SUM(B226:B228)</f>
        <v>84</v>
      </c>
      <c r="C229" s="7"/>
      <c r="D229" s="3">
        <f t="shared" si="26"/>
        <v>38</v>
      </c>
      <c r="E229" s="3">
        <f t="shared" si="29"/>
        <v>46</v>
      </c>
      <c r="F229" s="7">
        <f>SUM(F226:F228)</f>
        <v>33</v>
      </c>
      <c r="G229" s="7">
        <f>SUM(G226:G228)</f>
        <v>5</v>
      </c>
      <c r="H229" s="11">
        <f t="shared" si="30"/>
        <v>0.39285714285714285</v>
      </c>
    </row>
    <row r="230" spans="1:8" x14ac:dyDescent="0.35">
      <c r="A230" s="5" t="s">
        <v>67</v>
      </c>
      <c r="B230" s="7">
        <f>SUM(B214,B220,B225,B229)</f>
        <v>403</v>
      </c>
      <c r="C230" s="7"/>
      <c r="D230" s="3">
        <f t="shared" si="26"/>
        <v>208</v>
      </c>
      <c r="E230" s="3">
        <f t="shared" si="29"/>
        <v>195</v>
      </c>
      <c r="F230" s="7">
        <f>SUM(F214,F220,F225,F229)</f>
        <v>175</v>
      </c>
      <c r="G230" s="7">
        <f>SUM(G214,G220,G225,G229)</f>
        <v>33</v>
      </c>
      <c r="H230" s="11">
        <f t="shared" si="30"/>
        <v>0.43424317617866004</v>
      </c>
    </row>
    <row r="231" spans="1:8" x14ac:dyDescent="0.35">
      <c r="A231" s="2" t="s">
        <v>205</v>
      </c>
      <c r="B231" s="6">
        <v>17</v>
      </c>
      <c r="C231" s="6"/>
      <c r="D231" s="3">
        <f t="shared" si="26"/>
        <v>1</v>
      </c>
      <c r="E231" s="3">
        <f t="shared" si="29"/>
        <v>16</v>
      </c>
      <c r="F231" s="3">
        <v>0</v>
      </c>
      <c r="G231" s="4">
        <v>1</v>
      </c>
      <c r="H231" s="10">
        <f t="shared" si="30"/>
        <v>0</v>
      </c>
    </row>
    <row r="232" spans="1:8" x14ac:dyDescent="0.35">
      <c r="A232" s="2" t="s">
        <v>206</v>
      </c>
      <c r="B232" s="6">
        <v>10</v>
      </c>
      <c r="C232" s="6"/>
      <c r="D232" s="3">
        <f t="shared" si="26"/>
        <v>0</v>
      </c>
      <c r="E232" s="3">
        <f t="shared" si="29"/>
        <v>10</v>
      </c>
      <c r="F232" s="3">
        <v>0</v>
      </c>
      <c r="G232" s="4">
        <v>0</v>
      </c>
      <c r="H232" s="10">
        <f t="shared" si="30"/>
        <v>0</v>
      </c>
    </row>
    <row r="233" spans="1:8" x14ac:dyDescent="0.35">
      <c r="A233" s="2" t="s">
        <v>207</v>
      </c>
      <c r="B233" s="6" t="s">
        <v>208</v>
      </c>
      <c r="C233" s="6">
        <v>13</v>
      </c>
      <c r="D233" s="3">
        <f t="shared" si="26"/>
        <v>3</v>
      </c>
      <c r="E233" s="3">
        <f>C233-D233</f>
        <v>10</v>
      </c>
      <c r="F233" s="3">
        <v>0</v>
      </c>
      <c r="G233" s="4">
        <v>3</v>
      </c>
      <c r="H233" s="10">
        <f>F233/C233</f>
        <v>0</v>
      </c>
    </row>
    <row r="234" spans="1:8" x14ac:dyDescent="0.35">
      <c r="A234" s="5" t="s">
        <v>1</v>
      </c>
      <c r="B234" s="7">
        <f>17+10+13</f>
        <v>40</v>
      </c>
      <c r="C234" s="7"/>
      <c r="D234" s="3">
        <f t="shared" ref="D234:D264" si="31">SUM(F234:G234)</f>
        <v>4</v>
      </c>
      <c r="E234" s="3">
        <f>B234-D234</f>
        <v>36</v>
      </c>
      <c r="F234" s="7">
        <f>SUM(F231:F233)</f>
        <v>0</v>
      </c>
      <c r="G234" s="7">
        <f>SUM(G231:G233)</f>
        <v>4</v>
      </c>
      <c r="H234" s="11">
        <f>F234/B234</f>
        <v>0</v>
      </c>
    </row>
    <row r="235" spans="1:8" x14ac:dyDescent="0.35">
      <c r="A235" s="2" t="s">
        <v>209</v>
      </c>
      <c r="B235" s="6" t="s">
        <v>210</v>
      </c>
      <c r="C235" s="6">
        <v>19</v>
      </c>
      <c r="D235" s="3">
        <f t="shared" si="31"/>
        <v>4</v>
      </c>
      <c r="E235" s="3">
        <f>C235-D235</f>
        <v>15</v>
      </c>
      <c r="F235" s="3">
        <v>0</v>
      </c>
      <c r="G235" s="4">
        <v>4</v>
      </c>
      <c r="H235" s="10">
        <f>F235/C235</f>
        <v>0</v>
      </c>
    </row>
    <row r="236" spans="1:8" x14ac:dyDescent="0.35">
      <c r="A236" s="2" t="s">
        <v>211</v>
      </c>
      <c r="B236" s="6" t="s">
        <v>212</v>
      </c>
      <c r="C236" s="6">
        <v>12</v>
      </c>
      <c r="D236" s="3">
        <f t="shared" si="31"/>
        <v>1</v>
      </c>
      <c r="E236" s="3">
        <f>C236-D236</f>
        <v>11</v>
      </c>
      <c r="F236" s="3">
        <v>0</v>
      </c>
      <c r="G236" s="4">
        <v>1</v>
      </c>
      <c r="H236" s="10">
        <f>F236/C236</f>
        <v>0</v>
      </c>
    </row>
    <row r="237" spans="1:8" x14ac:dyDescent="0.35">
      <c r="A237" s="2" t="s">
        <v>271</v>
      </c>
      <c r="B237" s="6" t="s">
        <v>111</v>
      </c>
      <c r="C237" s="6">
        <v>14</v>
      </c>
      <c r="D237" s="3">
        <f t="shared" si="31"/>
        <v>3</v>
      </c>
      <c r="E237" s="3">
        <f>C237-D237</f>
        <v>11</v>
      </c>
      <c r="F237" s="3">
        <v>0</v>
      </c>
      <c r="G237" s="4">
        <v>3</v>
      </c>
      <c r="H237" s="10">
        <f>F237/C237</f>
        <v>0</v>
      </c>
    </row>
    <row r="238" spans="1:8" x14ac:dyDescent="0.35">
      <c r="A238" s="2" t="s">
        <v>213</v>
      </c>
      <c r="B238" s="6" t="s">
        <v>208</v>
      </c>
      <c r="C238" s="6">
        <v>13</v>
      </c>
      <c r="D238" s="3">
        <f t="shared" si="31"/>
        <v>2</v>
      </c>
      <c r="E238" s="3">
        <f>C238-D238</f>
        <v>11</v>
      </c>
      <c r="F238" s="3">
        <v>0</v>
      </c>
      <c r="G238" s="4">
        <v>2</v>
      </c>
      <c r="H238" s="10">
        <f>F238/C238</f>
        <v>0</v>
      </c>
    </row>
    <row r="239" spans="1:8" x14ac:dyDescent="0.35">
      <c r="A239" s="5" t="s">
        <v>1</v>
      </c>
      <c r="B239" s="7">
        <f>19+12+14+13</f>
        <v>58</v>
      </c>
      <c r="C239" s="7"/>
      <c r="D239" s="3">
        <f t="shared" si="31"/>
        <v>10</v>
      </c>
      <c r="E239" s="3">
        <f>B239-D239</f>
        <v>48</v>
      </c>
      <c r="F239" s="7">
        <f>SUM(F235:F238)</f>
        <v>0</v>
      </c>
      <c r="G239" s="7">
        <f>SUM(G235:G238)</f>
        <v>10</v>
      </c>
      <c r="H239" s="11">
        <f>F239/B239</f>
        <v>0</v>
      </c>
    </row>
    <row r="240" spans="1:8" x14ac:dyDescent="0.35">
      <c r="A240" s="2" t="s">
        <v>214</v>
      </c>
      <c r="B240" s="6">
        <v>33</v>
      </c>
      <c r="C240" s="6"/>
      <c r="D240" s="3">
        <f t="shared" si="31"/>
        <v>11</v>
      </c>
      <c r="E240" s="3">
        <f>B240-D240</f>
        <v>22</v>
      </c>
      <c r="F240" s="3">
        <v>7</v>
      </c>
      <c r="G240" s="4">
        <v>4</v>
      </c>
      <c r="H240" s="10">
        <f>F240/B240</f>
        <v>0.21212121212121213</v>
      </c>
    </row>
    <row r="241" spans="1:8" x14ac:dyDescent="0.35">
      <c r="A241" s="2" t="s">
        <v>215</v>
      </c>
      <c r="B241" s="6">
        <v>8</v>
      </c>
      <c r="C241" s="6"/>
      <c r="D241" s="3">
        <f t="shared" si="31"/>
        <v>5</v>
      </c>
      <c r="E241" s="3">
        <f>B241-D241</f>
        <v>3</v>
      </c>
      <c r="F241" s="3">
        <v>5</v>
      </c>
      <c r="G241" s="4">
        <v>0</v>
      </c>
      <c r="H241" s="10">
        <f>F241/B241</f>
        <v>0.625</v>
      </c>
    </row>
    <row r="242" spans="1:8" x14ac:dyDescent="0.35">
      <c r="A242" s="2" t="s">
        <v>216</v>
      </c>
      <c r="B242" s="6" t="s">
        <v>217</v>
      </c>
      <c r="C242" s="6">
        <v>16</v>
      </c>
      <c r="D242" s="3">
        <f t="shared" si="31"/>
        <v>13</v>
      </c>
      <c r="E242" s="3">
        <f>C242-D242</f>
        <v>3</v>
      </c>
      <c r="F242" s="3">
        <v>9</v>
      </c>
      <c r="G242" s="4">
        <v>4</v>
      </c>
      <c r="H242" s="10">
        <f>F242/C242</f>
        <v>0.5625</v>
      </c>
    </row>
    <row r="243" spans="1:8" x14ac:dyDescent="0.35">
      <c r="A243" s="5" t="s">
        <v>1</v>
      </c>
      <c r="B243" s="7">
        <f>33+8+16</f>
        <v>57</v>
      </c>
      <c r="C243" s="7"/>
      <c r="D243" s="3">
        <f t="shared" si="31"/>
        <v>29</v>
      </c>
      <c r="E243" s="3">
        <f>B243-D243</f>
        <v>28</v>
      </c>
      <c r="F243" s="7">
        <f>SUM(F240:F242)</f>
        <v>21</v>
      </c>
      <c r="G243" s="7">
        <f>SUM(G240:G242)</f>
        <v>8</v>
      </c>
      <c r="H243" s="11">
        <f>F243/B243</f>
        <v>0.36842105263157893</v>
      </c>
    </row>
    <row r="244" spans="1:8" x14ac:dyDescent="0.35">
      <c r="A244" s="15" t="s">
        <v>218</v>
      </c>
      <c r="B244" s="16">
        <v>15</v>
      </c>
      <c r="C244" s="6"/>
      <c r="D244" s="3">
        <f t="shared" si="31"/>
        <v>15</v>
      </c>
      <c r="E244" s="3">
        <f>B244-D244</f>
        <v>0</v>
      </c>
      <c r="F244" s="17">
        <v>13</v>
      </c>
      <c r="G244" s="16">
        <v>2</v>
      </c>
      <c r="H244" s="18">
        <v>0.9</v>
      </c>
    </row>
    <row r="245" spans="1:8" x14ac:dyDescent="0.35">
      <c r="A245" s="15" t="s">
        <v>219</v>
      </c>
      <c r="B245" s="16">
        <v>15</v>
      </c>
      <c r="C245" s="16"/>
      <c r="D245" s="17">
        <f t="shared" si="31"/>
        <v>13</v>
      </c>
      <c r="E245" s="17">
        <f>B245-D245</f>
        <v>2</v>
      </c>
      <c r="F245" s="17">
        <v>13</v>
      </c>
      <c r="G245" s="16">
        <v>0</v>
      </c>
      <c r="H245" s="18">
        <v>0.9</v>
      </c>
    </row>
    <row r="246" spans="1:8" x14ac:dyDescent="0.35">
      <c r="A246" s="2" t="s">
        <v>220</v>
      </c>
      <c r="B246" s="6">
        <v>8</v>
      </c>
      <c r="C246" s="6"/>
      <c r="D246" s="3">
        <f t="shared" si="31"/>
        <v>5</v>
      </c>
      <c r="E246" s="3">
        <f>B246-D246</f>
        <v>3</v>
      </c>
      <c r="F246" s="3">
        <v>5</v>
      </c>
      <c r="G246" s="4">
        <v>0</v>
      </c>
      <c r="H246" s="10">
        <f>F246/B246</f>
        <v>0.625</v>
      </c>
    </row>
    <row r="247" spans="1:8" x14ac:dyDescent="0.35">
      <c r="A247" s="5" t="s">
        <v>1</v>
      </c>
      <c r="B247" s="7">
        <f>SUM(B244:B246)</f>
        <v>38</v>
      </c>
      <c r="C247" s="7"/>
      <c r="D247" s="3">
        <f t="shared" si="31"/>
        <v>33</v>
      </c>
      <c r="E247" s="3">
        <f>B247-D247</f>
        <v>5</v>
      </c>
      <c r="F247" s="7">
        <f>SUM(F244:F246)</f>
        <v>31</v>
      </c>
      <c r="G247" s="7">
        <f>SUM(G244:G246)</f>
        <v>2</v>
      </c>
      <c r="H247" s="11">
        <f>F247/B247</f>
        <v>0.81578947368421051</v>
      </c>
    </row>
    <row r="248" spans="1:8" x14ac:dyDescent="0.35">
      <c r="A248" s="2" t="s">
        <v>221</v>
      </c>
      <c r="B248" s="6" t="s">
        <v>222</v>
      </c>
      <c r="C248" s="6">
        <v>19</v>
      </c>
      <c r="D248" s="3">
        <f t="shared" si="31"/>
        <v>1</v>
      </c>
      <c r="E248" s="3">
        <f>C248-D248</f>
        <v>18</v>
      </c>
      <c r="F248" s="3">
        <v>0</v>
      </c>
      <c r="G248" s="3">
        <v>1</v>
      </c>
      <c r="H248" s="10">
        <f>F248/C248</f>
        <v>0</v>
      </c>
    </row>
    <row r="249" spans="1:8" x14ac:dyDescent="0.35">
      <c r="A249" s="2" t="s">
        <v>223</v>
      </c>
      <c r="B249" s="6" t="s">
        <v>212</v>
      </c>
      <c r="C249" s="6">
        <v>12</v>
      </c>
      <c r="D249" s="3">
        <f t="shared" si="31"/>
        <v>0</v>
      </c>
      <c r="E249" s="3">
        <f>C249-D249</f>
        <v>12</v>
      </c>
      <c r="F249" s="3">
        <v>0</v>
      </c>
      <c r="G249" s="3">
        <v>0</v>
      </c>
      <c r="H249" s="10">
        <f>F249/C249</f>
        <v>0</v>
      </c>
    </row>
    <row r="250" spans="1:8" x14ac:dyDescent="0.35">
      <c r="A250" s="2" t="s">
        <v>224</v>
      </c>
      <c r="B250" s="6" t="s">
        <v>225</v>
      </c>
      <c r="C250" s="6">
        <v>15</v>
      </c>
      <c r="D250" s="3">
        <f t="shared" si="31"/>
        <v>0</v>
      </c>
      <c r="E250" s="3">
        <f>C250-D250</f>
        <v>15</v>
      </c>
      <c r="F250" s="3">
        <v>0</v>
      </c>
      <c r="G250" s="3">
        <v>0</v>
      </c>
      <c r="H250" s="10">
        <f>F250/C250</f>
        <v>0</v>
      </c>
    </row>
    <row r="251" spans="1:8" x14ac:dyDescent="0.35">
      <c r="A251" s="5" t="s">
        <v>1</v>
      </c>
      <c r="B251" s="7">
        <f>19+12+15</f>
        <v>46</v>
      </c>
      <c r="C251" s="7"/>
      <c r="D251" s="3">
        <f t="shared" si="31"/>
        <v>1</v>
      </c>
      <c r="E251" s="3">
        <f t="shared" ref="E251:E263" si="32">B251-D251</f>
        <v>45</v>
      </c>
      <c r="F251" s="7">
        <f>SUM(F248:F250)</f>
        <v>0</v>
      </c>
      <c r="G251" s="7">
        <f>SUM(G248:G250)</f>
        <v>1</v>
      </c>
      <c r="H251" s="11">
        <f t="shared" ref="H251:H263" si="33">F251/B251</f>
        <v>0</v>
      </c>
    </row>
    <row r="252" spans="1:8" x14ac:dyDescent="0.35">
      <c r="A252" s="5" t="s">
        <v>226</v>
      </c>
      <c r="B252" s="7">
        <f>SUM(B234,B239,B243,B247,B251)</f>
        <v>239</v>
      </c>
      <c r="C252" s="7"/>
      <c r="D252" s="3">
        <f t="shared" si="31"/>
        <v>77</v>
      </c>
      <c r="E252" s="3">
        <f t="shared" si="32"/>
        <v>162</v>
      </c>
      <c r="F252" s="7">
        <f>SUM(F234,F239,F243,F247,F251)</f>
        <v>52</v>
      </c>
      <c r="G252" s="7">
        <f>SUM(G234,G239,G243,G247,G251)</f>
        <v>25</v>
      </c>
      <c r="H252" s="11">
        <f t="shared" si="33"/>
        <v>0.21757322175732219</v>
      </c>
    </row>
    <row r="253" spans="1:8" x14ac:dyDescent="0.35">
      <c r="A253" s="2" t="s">
        <v>227</v>
      </c>
      <c r="B253" s="6">
        <v>14</v>
      </c>
      <c r="C253" s="6"/>
      <c r="D253" s="3">
        <f t="shared" si="31"/>
        <v>2</v>
      </c>
      <c r="E253" s="3">
        <f t="shared" si="32"/>
        <v>12</v>
      </c>
      <c r="F253" s="3">
        <v>1</v>
      </c>
      <c r="G253" s="4">
        <v>1</v>
      </c>
      <c r="H253" s="10">
        <f t="shared" si="33"/>
        <v>7.1428571428571425E-2</v>
      </c>
    </row>
    <row r="254" spans="1:8" x14ac:dyDescent="0.35">
      <c r="A254" s="2" t="s">
        <v>228</v>
      </c>
      <c r="B254" s="6">
        <v>12</v>
      </c>
      <c r="C254" s="6"/>
      <c r="D254" s="3">
        <f t="shared" si="31"/>
        <v>3</v>
      </c>
      <c r="E254" s="3">
        <f t="shared" si="32"/>
        <v>9</v>
      </c>
      <c r="F254" s="3">
        <v>0</v>
      </c>
      <c r="G254" s="4">
        <v>3</v>
      </c>
      <c r="H254" s="10">
        <f t="shared" si="33"/>
        <v>0</v>
      </c>
    </row>
    <row r="255" spans="1:8" x14ac:dyDescent="0.35">
      <c r="A255" s="2" t="s">
        <v>229</v>
      </c>
      <c r="B255" s="6">
        <v>10</v>
      </c>
      <c r="C255" s="6"/>
      <c r="D255" s="3">
        <f t="shared" si="31"/>
        <v>3</v>
      </c>
      <c r="E255" s="3">
        <f t="shared" si="32"/>
        <v>7</v>
      </c>
      <c r="F255" s="3">
        <v>3</v>
      </c>
      <c r="G255" s="4">
        <v>0</v>
      </c>
      <c r="H255" s="10">
        <f t="shared" si="33"/>
        <v>0.3</v>
      </c>
    </row>
    <row r="256" spans="1:8" x14ac:dyDescent="0.35">
      <c r="A256" s="2" t="s">
        <v>230</v>
      </c>
      <c r="B256" s="6">
        <v>12</v>
      </c>
      <c r="C256" s="6"/>
      <c r="D256" s="3">
        <f t="shared" si="31"/>
        <v>6</v>
      </c>
      <c r="E256" s="3">
        <f t="shared" si="32"/>
        <v>6</v>
      </c>
      <c r="F256" s="3">
        <v>4</v>
      </c>
      <c r="G256" s="4">
        <v>2</v>
      </c>
      <c r="H256" s="10">
        <f t="shared" si="33"/>
        <v>0.33333333333333331</v>
      </c>
    </row>
    <row r="257" spans="1:8" x14ac:dyDescent="0.35">
      <c r="A257" s="2" t="s">
        <v>231</v>
      </c>
      <c r="B257" s="6">
        <v>11</v>
      </c>
      <c r="C257" s="6"/>
      <c r="D257" s="3">
        <f t="shared" si="31"/>
        <v>0</v>
      </c>
      <c r="E257" s="3">
        <f t="shared" si="32"/>
        <v>11</v>
      </c>
      <c r="F257" s="3">
        <v>0</v>
      </c>
      <c r="G257" s="4">
        <v>0</v>
      </c>
      <c r="H257" s="10">
        <f t="shared" si="33"/>
        <v>0</v>
      </c>
    </row>
    <row r="258" spans="1:8" x14ac:dyDescent="0.35">
      <c r="A258" s="15" t="s">
        <v>232</v>
      </c>
      <c r="B258" s="16">
        <v>12</v>
      </c>
      <c r="C258" s="6"/>
      <c r="D258" s="3">
        <f t="shared" si="31"/>
        <v>11</v>
      </c>
      <c r="E258" s="3">
        <f t="shared" si="32"/>
        <v>1</v>
      </c>
      <c r="F258" s="17">
        <v>11</v>
      </c>
      <c r="G258" s="16">
        <v>0</v>
      </c>
      <c r="H258" s="18">
        <f t="shared" si="33"/>
        <v>0.91666666666666663</v>
      </c>
    </row>
    <row r="259" spans="1:8" x14ac:dyDescent="0.35">
      <c r="A259" s="2" t="s">
        <v>233</v>
      </c>
      <c r="B259" s="6">
        <v>15</v>
      </c>
      <c r="C259" s="6"/>
      <c r="D259" s="3">
        <f t="shared" si="31"/>
        <v>13</v>
      </c>
      <c r="E259" s="3">
        <f t="shared" si="32"/>
        <v>2</v>
      </c>
      <c r="F259" s="3">
        <v>13</v>
      </c>
      <c r="G259" s="4">
        <v>0</v>
      </c>
      <c r="H259" s="10">
        <f t="shared" si="33"/>
        <v>0.8666666666666667</v>
      </c>
    </row>
    <row r="260" spans="1:8" x14ac:dyDescent="0.35">
      <c r="A260" s="2" t="s">
        <v>234</v>
      </c>
      <c r="B260" s="6">
        <v>10</v>
      </c>
      <c r="C260" s="6"/>
      <c r="D260" s="3">
        <f t="shared" si="31"/>
        <v>2</v>
      </c>
      <c r="E260" s="3">
        <f t="shared" si="32"/>
        <v>8</v>
      </c>
      <c r="F260" s="3">
        <v>2</v>
      </c>
      <c r="G260" s="4">
        <v>0</v>
      </c>
      <c r="H260" s="10">
        <f t="shared" si="33"/>
        <v>0.2</v>
      </c>
    </row>
    <row r="261" spans="1:8" x14ac:dyDescent="0.35">
      <c r="A261" s="2" t="s">
        <v>235</v>
      </c>
      <c r="B261" s="6">
        <v>10</v>
      </c>
      <c r="C261" s="6"/>
      <c r="D261" s="3">
        <f t="shared" si="31"/>
        <v>2</v>
      </c>
      <c r="E261" s="3">
        <f t="shared" si="32"/>
        <v>8</v>
      </c>
      <c r="F261" s="3">
        <v>2</v>
      </c>
      <c r="G261" s="4">
        <v>0</v>
      </c>
      <c r="H261" s="10">
        <f t="shared" si="33"/>
        <v>0.2</v>
      </c>
    </row>
    <row r="262" spans="1:8" x14ac:dyDescent="0.35">
      <c r="A262" s="2" t="s">
        <v>236</v>
      </c>
      <c r="B262" s="6">
        <v>10</v>
      </c>
      <c r="C262" s="6"/>
      <c r="D262" s="3">
        <f t="shared" si="31"/>
        <v>3</v>
      </c>
      <c r="E262" s="3">
        <f t="shared" si="32"/>
        <v>7</v>
      </c>
      <c r="F262" s="3">
        <v>2</v>
      </c>
      <c r="G262" s="4">
        <v>1</v>
      </c>
      <c r="H262" s="10">
        <f t="shared" si="33"/>
        <v>0.2</v>
      </c>
    </row>
    <row r="263" spans="1:8" x14ac:dyDescent="0.35">
      <c r="A263" s="5" t="s">
        <v>1</v>
      </c>
      <c r="B263" s="7">
        <f>SUM(B253:B262)</f>
        <v>116</v>
      </c>
      <c r="C263" s="7"/>
      <c r="D263" s="3">
        <f t="shared" si="31"/>
        <v>45</v>
      </c>
      <c r="E263" s="3">
        <f t="shared" si="32"/>
        <v>71</v>
      </c>
      <c r="F263" s="7">
        <f>SUM(F253:F262)</f>
        <v>38</v>
      </c>
      <c r="G263" s="7">
        <f>SUM(G253:G262)</f>
        <v>7</v>
      </c>
      <c r="H263" s="11">
        <f t="shared" si="33"/>
        <v>0.32758620689655171</v>
      </c>
    </row>
    <row r="264" spans="1:8" x14ac:dyDescent="0.35">
      <c r="A264" s="2" t="s">
        <v>237</v>
      </c>
      <c r="B264" s="6" t="s">
        <v>208</v>
      </c>
      <c r="C264" s="6">
        <v>13</v>
      </c>
      <c r="D264" s="3">
        <f t="shared" si="31"/>
        <v>1</v>
      </c>
      <c r="E264" s="3">
        <f>C264-D264</f>
        <v>12</v>
      </c>
      <c r="F264" s="3">
        <v>1</v>
      </c>
      <c r="G264" s="4">
        <v>0</v>
      </c>
      <c r="H264" s="10">
        <f>F264/C264</f>
        <v>7.6923076923076927E-2</v>
      </c>
    </row>
    <row r="265" spans="1:8" x14ac:dyDescent="0.35">
      <c r="A265" s="2" t="s">
        <v>238</v>
      </c>
      <c r="B265" s="6">
        <v>14</v>
      </c>
      <c r="C265" s="6"/>
      <c r="D265" s="3">
        <f t="shared" ref="D265:D287" si="34">SUM(F265:G265)</f>
        <v>1</v>
      </c>
      <c r="E265" s="3">
        <f>B265-D265</f>
        <v>13</v>
      </c>
      <c r="F265" s="3">
        <v>1</v>
      </c>
      <c r="G265" s="4">
        <v>0</v>
      </c>
      <c r="H265" s="10">
        <f>F265/B265</f>
        <v>7.1428571428571425E-2</v>
      </c>
    </row>
    <row r="266" spans="1:8" x14ac:dyDescent="0.35">
      <c r="A266" s="2" t="s">
        <v>239</v>
      </c>
      <c r="B266" s="6">
        <v>8</v>
      </c>
      <c r="C266" s="6"/>
      <c r="D266" s="3">
        <f t="shared" si="34"/>
        <v>2</v>
      </c>
      <c r="E266" s="3">
        <f>B266-D266</f>
        <v>6</v>
      </c>
      <c r="F266" s="3">
        <v>1</v>
      </c>
      <c r="G266" s="4">
        <v>1</v>
      </c>
      <c r="H266" s="10">
        <f>F266/B266</f>
        <v>0.125</v>
      </c>
    </row>
    <row r="267" spans="1:8" x14ac:dyDescent="0.35">
      <c r="A267" s="2" t="s">
        <v>240</v>
      </c>
      <c r="B267" s="6">
        <v>12</v>
      </c>
      <c r="C267" s="6"/>
      <c r="D267" s="3">
        <f t="shared" si="34"/>
        <v>0</v>
      </c>
      <c r="E267" s="3">
        <f>B267-D267</f>
        <v>12</v>
      </c>
      <c r="F267" s="3">
        <v>0</v>
      </c>
      <c r="G267" s="4">
        <v>0</v>
      </c>
      <c r="H267" s="10">
        <f>F267/B267</f>
        <v>0</v>
      </c>
    </row>
    <row r="268" spans="1:8" x14ac:dyDescent="0.35">
      <c r="A268" s="5" t="s">
        <v>1</v>
      </c>
      <c r="B268" s="7">
        <f>SUM(B265:B267)+13</f>
        <v>47</v>
      </c>
      <c r="C268" s="7"/>
      <c r="D268" s="3">
        <f t="shared" si="34"/>
        <v>4</v>
      </c>
      <c r="E268" s="3">
        <f>B268-D268</f>
        <v>43</v>
      </c>
      <c r="F268" s="7">
        <f>SUM(F264:F267)</f>
        <v>3</v>
      </c>
      <c r="G268" s="7">
        <f>SUM(G264:G267)</f>
        <v>1</v>
      </c>
      <c r="H268" s="11">
        <f>F268/B268</f>
        <v>6.3829787234042548E-2</v>
      </c>
    </row>
    <row r="269" spans="1:8" x14ac:dyDescent="0.35">
      <c r="A269" s="2" t="s">
        <v>241</v>
      </c>
      <c r="B269" s="6" t="s">
        <v>212</v>
      </c>
      <c r="C269" s="6">
        <v>12</v>
      </c>
      <c r="D269" s="3">
        <f t="shared" si="34"/>
        <v>1</v>
      </c>
      <c r="E269" s="3">
        <f>C269-D269</f>
        <v>11</v>
      </c>
      <c r="F269" s="3">
        <v>0</v>
      </c>
      <c r="G269" s="4">
        <v>1</v>
      </c>
      <c r="H269" s="10">
        <f>F269/C269</f>
        <v>0</v>
      </c>
    </row>
    <row r="270" spans="1:8" x14ac:dyDescent="0.35">
      <c r="A270" s="2" t="s">
        <v>242</v>
      </c>
      <c r="B270" s="6">
        <v>14</v>
      </c>
      <c r="C270" s="6"/>
      <c r="D270" s="3">
        <f t="shared" si="34"/>
        <v>1</v>
      </c>
      <c r="E270" s="3">
        <f t="shared" ref="E270:E275" si="35">B270-D270</f>
        <v>13</v>
      </c>
      <c r="F270" s="3">
        <v>0</v>
      </c>
      <c r="G270" s="4">
        <v>1</v>
      </c>
      <c r="H270" s="10">
        <f t="shared" ref="H270:H275" si="36">F270/B270</f>
        <v>0</v>
      </c>
    </row>
    <row r="271" spans="1:8" x14ac:dyDescent="0.35">
      <c r="A271" s="2" t="s">
        <v>243</v>
      </c>
      <c r="B271" s="6">
        <v>14</v>
      </c>
      <c r="C271" s="6"/>
      <c r="D271" s="3">
        <f t="shared" si="34"/>
        <v>2</v>
      </c>
      <c r="E271" s="3">
        <f t="shared" si="35"/>
        <v>12</v>
      </c>
      <c r="F271" s="3">
        <v>2</v>
      </c>
      <c r="G271" s="4">
        <v>0</v>
      </c>
      <c r="H271" s="10">
        <f t="shared" si="36"/>
        <v>0.14285714285714285</v>
      </c>
    </row>
    <row r="272" spans="1:8" x14ac:dyDescent="0.35">
      <c r="A272" s="5" t="s">
        <v>1</v>
      </c>
      <c r="B272" s="7">
        <f>28+12</f>
        <v>40</v>
      </c>
      <c r="C272" s="7"/>
      <c r="D272" s="3">
        <f t="shared" si="34"/>
        <v>4</v>
      </c>
      <c r="E272" s="3">
        <f t="shared" si="35"/>
        <v>36</v>
      </c>
      <c r="F272" s="7">
        <f>SUM(F269:F271)</f>
        <v>2</v>
      </c>
      <c r="G272" s="7">
        <f>SUM(G269:G271)</f>
        <v>2</v>
      </c>
      <c r="H272" s="11">
        <f t="shared" si="36"/>
        <v>0.05</v>
      </c>
    </row>
    <row r="273" spans="1:8" x14ac:dyDescent="0.35">
      <c r="A273" s="2" t="s">
        <v>244</v>
      </c>
      <c r="B273" s="6">
        <v>21</v>
      </c>
      <c r="C273" s="6"/>
      <c r="D273" s="3">
        <f t="shared" si="34"/>
        <v>4</v>
      </c>
      <c r="E273" s="3">
        <f t="shared" si="35"/>
        <v>17</v>
      </c>
      <c r="F273" s="3">
        <v>2</v>
      </c>
      <c r="G273" s="4">
        <v>2</v>
      </c>
      <c r="H273" s="10">
        <f t="shared" si="36"/>
        <v>9.5238095238095233E-2</v>
      </c>
    </row>
    <row r="274" spans="1:8" x14ac:dyDescent="0.35">
      <c r="A274" s="2" t="s">
        <v>245</v>
      </c>
      <c r="B274" s="6">
        <v>33</v>
      </c>
      <c r="C274" s="6"/>
      <c r="D274" s="3">
        <f t="shared" si="34"/>
        <v>2</v>
      </c>
      <c r="E274" s="3">
        <f t="shared" si="35"/>
        <v>31</v>
      </c>
      <c r="F274" s="3">
        <v>1</v>
      </c>
      <c r="G274" s="4">
        <v>1</v>
      </c>
      <c r="H274" s="10">
        <f t="shared" si="36"/>
        <v>3.0303030303030304E-2</v>
      </c>
    </row>
    <row r="275" spans="1:8" x14ac:dyDescent="0.35">
      <c r="A275" s="2" t="s">
        <v>246</v>
      </c>
      <c r="B275" s="6">
        <v>23</v>
      </c>
      <c r="C275" s="6"/>
      <c r="D275" s="3">
        <f t="shared" si="34"/>
        <v>4</v>
      </c>
      <c r="E275" s="3">
        <f t="shared" si="35"/>
        <v>19</v>
      </c>
      <c r="F275" s="3">
        <v>2</v>
      </c>
      <c r="G275" s="4">
        <v>2</v>
      </c>
      <c r="H275" s="10">
        <f t="shared" si="36"/>
        <v>8.6956521739130432E-2</v>
      </c>
    </row>
    <row r="276" spans="1:8" x14ac:dyDescent="0.35">
      <c r="A276" s="2" t="s">
        <v>247</v>
      </c>
      <c r="B276" s="6" t="s">
        <v>248</v>
      </c>
      <c r="C276" s="6">
        <v>16</v>
      </c>
      <c r="D276" s="3">
        <f t="shared" si="34"/>
        <v>0</v>
      </c>
      <c r="E276" s="3">
        <f>C276-D276</f>
        <v>16</v>
      </c>
      <c r="F276" s="3">
        <v>0</v>
      </c>
      <c r="G276" s="4">
        <v>0</v>
      </c>
      <c r="H276" s="10">
        <f>F276/C276</f>
        <v>0</v>
      </c>
    </row>
    <row r="277" spans="1:8" x14ac:dyDescent="0.35">
      <c r="A277" s="2" t="s">
        <v>249</v>
      </c>
      <c r="B277" s="6">
        <v>12</v>
      </c>
      <c r="C277" s="6"/>
      <c r="D277" s="3">
        <f t="shared" si="34"/>
        <v>4</v>
      </c>
      <c r="E277" s="3">
        <f>B277-D277</f>
        <v>8</v>
      </c>
      <c r="F277" s="3">
        <v>1</v>
      </c>
      <c r="G277" s="4">
        <v>3</v>
      </c>
      <c r="H277" s="10">
        <f>F277/B277</f>
        <v>8.3333333333333329E-2</v>
      </c>
    </row>
    <row r="278" spans="1:8" x14ac:dyDescent="0.35">
      <c r="A278" s="5" t="s">
        <v>1</v>
      </c>
      <c r="B278" s="7">
        <f>SUM(B273:B275)+16+12</f>
        <v>105</v>
      </c>
      <c r="C278" s="7"/>
      <c r="D278" s="3">
        <f t="shared" si="34"/>
        <v>14</v>
      </c>
      <c r="E278" s="3">
        <f>B278-D278</f>
        <v>91</v>
      </c>
      <c r="F278" s="7">
        <f>SUM(F273:F277)</f>
        <v>6</v>
      </c>
      <c r="G278" s="7">
        <f>SUM(G273:G277)</f>
        <v>8</v>
      </c>
      <c r="H278" s="11">
        <f>F278/B278</f>
        <v>5.7142857142857141E-2</v>
      </c>
    </row>
    <row r="279" spans="1:8" x14ac:dyDescent="0.35">
      <c r="A279" s="2" t="s">
        <v>250</v>
      </c>
      <c r="B279" s="6">
        <v>28</v>
      </c>
      <c r="C279" s="6"/>
      <c r="D279" s="3">
        <f t="shared" si="34"/>
        <v>5</v>
      </c>
      <c r="E279" s="3">
        <f>B279-D279</f>
        <v>23</v>
      </c>
      <c r="F279" s="3">
        <v>3</v>
      </c>
      <c r="G279" s="4">
        <v>2</v>
      </c>
      <c r="H279" s="10">
        <f>F279/B279</f>
        <v>0.10714285714285714</v>
      </c>
    </row>
    <row r="280" spans="1:8" x14ac:dyDescent="0.35">
      <c r="A280" s="2" t="s">
        <v>251</v>
      </c>
      <c r="B280" s="6">
        <v>9</v>
      </c>
      <c r="C280" s="6"/>
      <c r="D280" s="3">
        <f t="shared" si="34"/>
        <v>0</v>
      </c>
      <c r="E280" s="3">
        <f>B280-D280</f>
        <v>9</v>
      </c>
      <c r="F280" s="3">
        <v>0</v>
      </c>
      <c r="G280" s="4">
        <v>0</v>
      </c>
      <c r="H280" s="10">
        <f>F280/B280</f>
        <v>0</v>
      </c>
    </row>
    <row r="281" spans="1:8" x14ac:dyDescent="0.35">
      <c r="A281" s="2" t="s">
        <v>252</v>
      </c>
      <c r="B281" s="6">
        <v>4</v>
      </c>
      <c r="C281" s="6"/>
      <c r="D281" s="3">
        <f t="shared" si="34"/>
        <v>0</v>
      </c>
      <c r="E281" s="3">
        <f>B281-D281</f>
        <v>4</v>
      </c>
      <c r="F281" s="3">
        <v>0</v>
      </c>
      <c r="G281" s="4">
        <v>0</v>
      </c>
      <c r="H281" s="10">
        <f>F281/B281</f>
        <v>0</v>
      </c>
    </row>
    <row r="282" spans="1:8" x14ac:dyDescent="0.35">
      <c r="A282" s="2" t="s">
        <v>253</v>
      </c>
      <c r="B282" s="6" t="s">
        <v>254</v>
      </c>
      <c r="C282" s="6">
        <v>18</v>
      </c>
      <c r="D282" s="3">
        <f t="shared" si="34"/>
        <v>1</v>
      </c>
      <c r="E282" s="3">
        <f>C282-D282</f>
        <v>17</v>
      </c>
      <c r="F282" s="3">
        <v>1</v>
      </c>
      <c r="G282" s="4">
        <v>0</v>
      </c>
      <c r="H282" s="10">
        <f>F282/C282</f>
        <v>5.5555555555555552E-2</v>
      </c>
    </row>
    <row r="283" spans="1:8" x14ac:dyDescent="0.35">
      <c r="A283" s="2" t="s">
        <v>255</v>
      </c>
      <c r="B283" s="6">
        <v>15</v>
      </c>
      <c r="C283" s="6"/>
      <c r="D283" s="3">
        <f t="shared" si="34"/>
        <v>0</v>
      </c>
      <c r="E283" s="3">
        <f>B283-D283</f>
        <v>15</v>
      </c>
      <c r="F283" s="3">
        <v>0</v>
      </c>
      <c r="G283" s="4">
        <v>0</v>
      </c>
      <c r="H283" s="10">
        <f>F283/B283</f>
        <v>0</v>
      </c>
    </row>
    <row r="284" spans="1:8" x14ac:dyDescent="0.35">
      <c r="A284" s="2" t="s">
        <v>270</v>
      </c>
      <c r="B284" s="6" t="s">
        <v>256</v>
      </c>
      <c r="C284" s="6">
        <v>17</v>
      </c>
      <c r="D284" s="3">
        <f t="shared" si="34"/>
        <v>0</v>
      </c>
      <c r="E284" s="3">
        <f>C284-D284</f>
        <v>17</v>
      </c>
      <c r="F284" s="3">
        <v>0</v>
      </c>
      <c r="G284" s="4">
        <v>0</v>
      </c>
      <c r="H284" s="10">
        <f>F284/C284</f>
        <v>0</v>
      </c>
    </row>
    <row r="285" spans="1:8" x14ac:dyDescent="0.35">
      <c r="A285" s="5" t="s">
        <v>1</v>
      </c>
      <c r="B285" s="7">
        <f>SUM(B279:B281)+18+15+17</f>
        <v>91</v>
      </c>
      <c r="C285" s="7"/>
      <c r="D285" s="3">
        <f t="shared" si="34"/>
        <v>6</v>
      </c>
      <c r="E285" s="3">
        <f>B285-D285</f>
        <v>85</v>
      </c>
      <c r="F285" s="7">
        <f>SUM(F279:F284)</f>
        <v>4</v>
      </c>
      <c r="G285" s="7">
        <f>SUM(G279:G284)</f>
        <v>2</v>
      </c>
      <c r="H285" s="11">
        <f>F285/B285</f>
        <v>4.3956043956043959E-2</v>
      </c>
    </row>
    <row r="286" spans="1:8" x14ac:dyDescent="0.35">
      <c r="A286" s="5" t="s">
        <v>257</v>
      </c>
      <c r="B286" s="7">
        <f>SUM(B263,B268,B272,B278,B285)</f>
        <v>399</v>
      </c>
      <c r="C286" s="7"/>
      <c r="D286" s="3">
        <f t="shared" si="34"/>
        <v>73</v>
      </c>
      <c r="E286" s="3">
        <f>B286-D286</f>
        <v>326</v>
      </c>
      <c r="F286" s="7">
        <f>SUM(F263,F268,F272,F278,F285)</f>
        <v>53</v>
      </c>
      <c r="G286" s="7">
        <f>SUM(G263,G268,G272,G278,G285)</f>
        <v>20</v>
      </c>
      <c r="H286" s="11">
        <f>F286/B286</f>
        <v>0.13283208020050125</v>
      </c>
    </row>
    <row r="287" spans="1:8" x14ac:dyDescent="0.35">
      <c r="A287" s="5" t="s">
        <v>1</v>
      </c>
      <c r="B287" s="7">
        <f>SUM(B48,B72,B101,B160,B188,B209,B230,B252,B286)</f>
        <v>4468</v>
      </c>
      <c r="C287" s="7">
        <f>SUM(C48,C72,C101,C160,C188,C209,C230,C252,C286)</f>
        <v>0</v>
      </c>
      <c r="D287" s="3">
        <f t="shared" si="34"/>
        <v>2166</v>
      </c>
      <c r="E287" s="3">
        <f>B287-D287</f>
        <v>2302</v>
      </c>
      <c r="F287" s="7">
        <f>SUM(F48,F72,F101,F160,F188,F209,F230,F252,F286)</f>
        <v>1734</v>
      </c>
      <c r="G287" s="7">
        <f>SUM(G48,G72,G101,G160,G188,G209,G230,G252,G286)</f>
        <v>432</v>
      </c>
      <c r="H287" s="11">
        <f>F287/B287</f>
        <v>0.38809310653536255</v>
      </c>
    </row>
  </sheetData>
  <autoFilter ref="A1:H287" xr:uid="{8FABAE63-5209-4F19-A6CF-E82BE4C44D42}">
    <sortState ref="A9:H233">
      <sortCondition ref="A1:A28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C99F-10EA-4316-B50D-0338977355F3}">
  <dimension ref="A1:I11"/>
  <sheetViews>
    <sheetView workbookViewId="0">
      <selection activeCell="C4" sqref="C4"/>
    </sheetView>
  </sheetViews>
  <sheetFormatPr defaultRowHeight="14.5" x14ac:dyDescent="0.35"/>
  <cols>
    <col min="1" max="1" width="15" customWidth="1"/>
    <col min="4" max="4" width="13.7265625" customWidth="1"/>
    <col min="5" max="5" width="11.1796875" hidden="1" customWidth="1"/>
    <col min="6" max="6" width="12.453125" customWidth="1"/>
    <col min="7" max="7" width="13.7265625" customWidth="1"/>
    <col min="8" max="8" width="11.26953125" customWidth="1"/>
    <col min="9" max="9" width="11.1796875" customWidth="1"/>
  </cols>
  <sheetData>
    <row r="1" spans="1:9" s="32" customFormat="1" ht="70.5" customHeight="1" x14ac:dyDescent="0.35">
      <c r="A1" s="31" t="s">
        <v>259</v>
      </c>
      <c r="B1" s="30" t="s">
        <v>68</v>
      </c>
      <c r="C1" s="30" t="s">
        <v>260</v>
      </c>
      <c r="D1" s="30" t="s">
        <v>261</v>
      </c>
      <c r="E1" s="30" t="s">
        <v>268</v>
      </c>
      <c r="F1" s="30" t="s">
        <v>262</v>
      </c>
      <c r="G1" s="30" t="s">
        <v>263</v>
      </c>
      <c r="H1" s="30" t="s">
        <v>264</v>
      </c>
      <c r="I1" s="30" t="s">
        <v>265</v>
      </c>
    </row>
    <row r="2" spans="1:9" x14ac:dyDescent="0.35">
      <c r="A2" s="24" t="s">
        <v>109</v>
      </c>
      <c r="B2" s="25">
        <v>710</v>
      </c>
      <c r="C2" s="38">
        <v>316</v>
      </c>
      <c r="D2" s="26">
        <v>223</v>
      </c>
      <c r="E2" s="26">
        <f>Sheet4!E48:H48</f>
        <v>501</v>
      </c>
      <c r="F2" s="36">
        <f>Sheet4!F48</f>
        <v>127</v>
      </c>
      <c r="G2" s="36">
        <f>Sheet4!G48</f>
        <v>98</v>
      </c>
      <c r="H2" s="25">
        <f>D2-F2-G2</f>
        <v>-2</v>
      </c>
      <c r="I2" s="27">
        <f>F2/B2</f>
        <v>0.17887323943661973</v>
      </c>
    </row>
    <row r="3" spans="1:9" x14ac:dyDescent="0.35">
      <c r="A3" s="24" t="s">
        <v>131</v>
      </c>
      <c r="B3" s="25">
        <v>319</v>
      </c>
      <c r="C3" s="38">
        <v>239</v>
      </c>
      <c r="D3" s="26">
        <v>205</v>
      </c>
      <c r="E3" s="26">
        <f>Sheet4!E72</f>
        <v>105</v>
      </c>
      <c r="F3" s="36">
        <f>Sheet4!F72</f>
        <v>169</v>
      </c>
      <c r="G3" s="36">
        <f>Sheet4!G72</f>
        <v>45</v>
      </c>
      <c r="H3" s="25">
        <f>D3-F3-G3</f>
        <v>-9</v>
      </c>
      <c r="I3" s="27">
        <f t="shared" ref="I3:I10" si="0">F3/B3</f>
        <v>0.52978056426332287</v>
      </c>
    </row>
    <row r="4" spans="1:9" x14ac:dyDescent="0.35">
      <c r="A4" s="24" t="s">
        <v>25</v>
      </c>
      <c r="B4" s="25">
        <v>529</v>
      </c>
      <c r="C4" s="38">
        <v>509</v>
      </c>
      <c r="D4" s="26">
        <v>502</v>
      </c>
      <c r="E4" s="26">
        <f>Sheet4!E101</f>
        <v>25</v>
      </c>
      <c r="F4" s="36">
        <f>Sheet4!F101</f>
        <v>476</v>
      </c>
      <c r="G4" s="36">
        <f>Sheet4!G101</f>
        <v>28</v>
      </c>
      <c r="H4" s="25">
        <f>D4-F4-G4</f>
        <v>-2</v>
      </c>
      <c r="I4" s="27">
        <f t="shared" si="0"/>
        <v>0.89981096408317585</v>
      </c>
    </row>
    <row r="5" spans="1:9" x14ac:dyDescent="0.35">
      <c r="A5" s="24" t="s">
        <v>266</v>
      </c>
      <c r="B5" s="25">
        <v>901</v>
      </c>
      <c r="C5" s="38">
        <v>282</v>
      </c>
      <c r="D5" s="26">
        <v>170</v>
      </c>
      <c r="E5" s="26">
        <f>Sheet4!E160</f>
        <v>739</v>
      </c>
      <c r="F5" s="36">
        <f>Sheet4!F160</f>
        <v>79</v>
      </c>
      <c r="G5" s="36">
        <f>Sheet4!G160</f>
        <v>83</v>
      </c>
      <c r="H5" s="25">
        <f t="shared" ref="H5:H10" si="1">D5-F5-G5</f>
        <v>8</v>
      </c>
      <c r="I5" s="27">
        <f>F5/B5</f>
        <v>8.7680355160932297E-2</v>
      </c>
    </row>
    <row r="6" spans="1:9" x14ac:dyDescent="0.35">
      <c r="A6" s="24" t="s">
        <v>50</v>
      </c>
      <c r="B6" s="25">
        <v>568</v>
      </c>
      <c r="C6" s="38">
        <v>438</v>
      </c>
      <c r="D6" s="26">
        <v>375</v>
      </c>
      <c r="E6" s="26">
        <f>Sheet4!E188</f>
        <v>189</v>
      </c>
      <c r="F6" s="36">
        <f>Sheet4!F188</f>
        <v>325</v>
      </c>
      <c r="G6" s="36">
        <f>Sheet4!G188</f>
        <v>54</v>
      </c>
      <c r="H6" s="25">
        <f t="shared" si="1"/>
        <v>-4</v>
      </c>
      <c r="I6" s="27">
        <f t="shared" si="0"/>
        <v>0.57218309859154926</v>
      </c>
    </row>
    <row r="7" spans="1:9" x14ac:dyDescent="0.35">
      <c r="A7" s="24" t="s">
        <v>202</v>
      </c>
      <c r="B7" s="25">
        <v>400</v>
      </c>
      <c r="C7" s="38">
        <v>345</v>
      </c>
      <c r="D7" s="26">
        <v>315</v>
      </c>
      <c r="E7" s="26">
        <f>Sheet4!E209</f>
        <v>76</v>
      </c>
      <c r="F7" s="36">
        <f>Sheet4!F209</f>
        <v>278</v>
      </c>
      <c r="G7" s="36">
        <f>Sheet4!G209</f>
        <v>46</v>
      </c>
      <c r="H7" s="25">
        <f t="shared" si="1"/>
        <v>-9</v>
      </c>
      <c r="I7" s="27">
        <f t="shared" si="0"/>
        <v>0.69499999999999995</v>
      </c>
    </row>
    <row r="8" spans="1:9" x14ac:dyDescent="0.35">
      <c r="A8" s="24" t="s">
        <v>67</v>
      </c>
      <c r="B8" s="25">
        <v>403</v>
      </c>
      <c r="C8" s="38">
        <v>270</v>
      </c>
      <c r="D8" s="26">
        <v>204</v>
      </c>
      <c r="E8" s="26">
        <f>Sheet4!E230</f>
        <v>195</v>
      </c>
      <c r="F8" s="36">
        <f>Sheet4!F230</f>
        <v>175</v>
      </c>
      <c r="G8" s="36">
        <f>Sheet4!G230</f>
        <v>33</v>
      </c>
      <c r="H8" s="25">
        <f t="shared" si="1"/>
        <v>-4</v>
      </c>
      <c r="I8" s="27">
        <f t="shared" si="0"/>
        <v>0.43424317617866004</v>
      </c>
    </row>
    <row r="9" spans="1:9" x14ac:dyDescent="0.35">
      <c r="A9" s="24" t="s">
        <v>226</v>
      </c>
      <c r="B9" s="25">
        <v>239</v>
      </c>
      <c r="C9" s="38">
        <v>96</v>
      </c>
      <c r="D9" s="26">
        <v>75</v>
      </c>
      <c r="E9" s="26">
        <f>Sheet4!E252</f>
        <v>162</v>
      </c>
      <c r="F9" s="36">
        <f>Sheet4!F252</f>
        <v>52</v>
      </c>
      <c r="G9" s="36">
        <f>Sheet4!G252</f>
        <v>25</v>
      </c>
      <c r="H9" s="25">
        <f t="shared" si="1"/>
        <v>-2</v>
      </c>
      <c r="I9" s="27">
        <f t="shared" si="0"/>
        <v>0.21757322175732219</v>
      </c>
    </row>
    <row r="10" spans="1:9" x14ac:dyDescent="0.35">
      <c r="A10" s="24" t="s">
        <v>257</v>
      </c>
      <c r="B10" s="25">
        <v>399</v>
      </c>
      <c r="C10" s="38">
        <v>175</v>
      </c>
      <c r="D10" s="26">
        <v>67</v>
      </c>
      <c r="E10" s="26">
        <f>Sheet4!E286</f>
        <v>326</v>
      </c>
      <c r="F10" s="36">
        <f>Sheet4!F286</f>
        <v>53</v>
      </c>
      <c r="G10" s="36">
        <f>Sheet4!G286</f>
        <v>20</v>
      </c>
      <c r="H10" s="25">
        <f t="shared" si="1"/>
        <v>-6</v>
      </c>
      <c r="I10" s="27">
        <f t="shared" si="0"/>
        <v>0.13283208020050125</v>
      </c>
    </row>
    <row r="11" spans="1:9" x14ac:dyDescent="0.35">
      <c r="A11" s="28" t="s">
        <v>1</v>
      </c>
      <c r="B11" s="28">
        <f>SUM(B2:B10)</f>
        <v>4468</v>
      </c>
      <c r="C11" s="28">
        <f t="shared" ref="C11:H11" si="2">SUM(C2:C10)</f>
        <v>2670</v>
      </c>
      <c r="D11" s="28">
        <f t="shared" si="2"/>
        <v>2136</v>
      </c>
      <c r="E11" s="28"/>
      <c r="F11" s="37">
        <f>SUM(F2:F10)</f>
        <v>1734</v>
      </c>
      <c r="G11" s="37">
        <f>SUM(G2:G10)</f>
        <v>432</v>
      </c>
      <c r="H11" s="28">
        <f t="shared" si="2"/>
        <v>-30</v>
      </c>
      <c r="I11" s="29">
        <f>F11/B11</f>
        <v>0.38809310653536255</v>
      </c>
    </row>
  </sheetData>
  <pageMargins left="0.7" right="0.7" top="0.75" bottom="0.75" header="0.3" footer="0.3"/>
  <pageSetup paperSize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 General Office</dc:creator>
  <cp:lastModifiedBy>Secretary General Office</cp:lastModifiedBy>
  <dcterms:created xsi:type="dcterms:W3CDTF">2025-06-03T08:02:24Z</dcterms:created>
  <dcterms:modified xsi:type="dcterms:W3CDTF">2025-10-04T15:00:55Z</dcterms:modified>
</cp:coreProperties>
</file>