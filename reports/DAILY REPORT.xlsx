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GO 2023 ELECTIONS\Internal Communication\2025\SRPA\"/>
    </mc:Choice>
  </mc:AlternateContent>
  <xr:revisionPtr revIDLastSave="0" documentId="13_ncr:1_{D201A42B-B179-4D12-B176-549A2DCCEEA7}" xr6:coauthVersionLast="36" xr6:coauthVersionMax="36" xr10:uidLastSave="{00000000-0000-0000-0000-000000000000}"/>
  <bookViews>
    <workbookView xWindow="0" yWindow="0" windowWidth="20490" windowHeight="7250" activeTab="1" xr2:uid="{3A5CA6B8-6FCD-40A7-80CD-C8C571F4A2A5}"/>
  </bookViews>
  <sheets>
    <sheet name="SHEET 2" sheetId="2" r:id="rId1"/>
    <sheet name="Sheet1" sheetId="4" r:id="rId2"/>
    <sheet name="Sheet3" sheetId="6" r:id="rId3"/>
    <sheet name="Sheet2" sheetId="5" r:id="rId4"/>
  </sheets>
  <definedNames>
    <definedName name="_xlnm._FilterDatabase" localSheetId="1" hidden="1">Sheet1!$A$1:$F$287</definedName>
    <definedName name="_xlnm._FilterDatabase" localSheetId="3" hidden="1">Sheet2!$A$1:$G$1039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6" l="1"/>
  <c r="B16" i="6" l="1"/>
  <c r="D15" i="6"/>
  <c r="C15" i="6"/>
  <c r="B15" i="6"/>
  <c r="B4" i="6"/>
  <c r="D4" i="6"/>
  <c r="D16" i="6" s="1"/>
  <c r="C4" i="6"/>
  <c r="C16" i="6" s="1"/>
  <c r="D14" i="6"/>
  <c r="D13" i="6"/>
  <c r="D12" i="6"/>
  <c r="D11" i="6"/>
  <c r="D10" i="6"/>
  <c r="D9" i="6"/>
  <c r="D7" i="6"/>
  <c r="D3" i="6"/>
  <c r="D5" i="6"/>
  <c r="D2" i="6"/>
  <c r="F82" i="4" l="1"/>
  <c r="D68" i="4" l="1"/>
  <c r="D63" i="4"/>
  <c r="D56" i="4"/>
  <c r="D51" i="4"/>
  <c r="D71" i="4"/>
  <c r="D72" i="4" l="1"/>
  <c r="D263" i="4"/>
  <c r="E102" i="4" l="1"/>
  <c r="F8" i="4" l="1"/>
  <c r="F7" i="4"/>
  <c r="F13" i="4"/>
  <c r="F49" i="4"/>
  <c r="F54" i="4"/>
  <c r="F70" i="4"/>
  <c r="F99" i="4"/>
  <c r="F110" i="4"/>
  <c r="F117" i="4"/>
  <c r="F136" i="4"/>
  <c r="F142" i="4"/>
  <c r="F141" i="4"/>
  <c r="F150" i="4"/>
  <c r="F193" i="4"/>
  <c r="F212" i="4"/>
  <c r="F222" i="4"/>
  <c r="F233" i="4"/>
  <c r="F238" i="4"/>
  <c r="F237" i="4"/>
  <c r="F236" i="4"/>
  <c r="F235" i="4"/>
  <c r="F242" i="4"/>
  <c r="F250" i="4"/>
  <c r="F249" i="4"/>
  <c r="F248" i="4"/>
  <c r="F264" i="4"/>
  <c r="F269" i="4"/>
  <c r="F276" i="4"/>
  <c r="F282" i="4"/>
  <c r="F284" i="4"/>
  <c r="F3" i="4"/>
  <c r="F4" i="4"/>
  <c r="F5" i="4"/>
  <c r="F9" i="4"/>
  <c r="F10" i="4"/>
  <c r="F11" i="4"/>
  <c r="F14" i="4"/>
  <c r="F15" i="4"/>
  <c r="F16" i="4"/>
  <c r="F17" i="4"/>
  <c r="F19" i="4"/>
  <c r="F20" i="4"/>
  <c r="F21" i="4"/>
  <c r="F22" i="4"/>
  <c r="F23" i="4"/>
  <c r="F24" i="4"/>
  <c r="F26" i="4"/>
  <c r="F27" i="4"/>
  <c r="F28" i="4"/>
  <c r="F30" i="4"/>
  <c r="F31" i="4"/>
  <c r="F32" i="4"/>
  <c r="F33" i="4"/>
  <c r="F34" i="4"/>
  <c r="F36" i="4"/>
  <c r="F37" i="4"/>
  <c r="F38" i="4"/>
  <c r="F39" i="4"/>
  <c r="F41" i="4"/>
  <c r="F42" i="4"/>
  <c r="F43" i="4"/>
  <c r="F44" i="4"/>
  <c r="F45" i="4"/>
  <c r="F46" i="4"/>
  <c r="F50" i="4"/>
  <c r="F52" i="4"/>
  <c r="F53" i="4"/>
  <c r="F55" i="4"/>
  <c r="F57" i="4"/>
  <c r="F58" i="4"/>
  <c r="F60" i="4"/>
  <c r="F61" i="4"/>
  <c r="F62" i="4"/>
  <c r="F64" i="4"/>
  <c r="F65" i="4"/>
  <c r="F66" i="4"/>
  <c r="F67" i="4"/>
  <c r="F69" i="4"/>
  <c r="F73" i="4"/>
  <c r="F74" i="4"/>
  <c r="F75" i="4"/>
  <c r="F77" i="4"/>
  <c r="F78" i="4"/>
  <c r="F79" i="4"/>
  <c r="F81" i="4"/>
  <c r="F83" i="4"/>
  <c r="F84" i="4"/>
  <c r="F85" i="4"/>
  <c r="F87" i="4"/>
  <c r="F88" i="4"/>
  <c r="F89" i="4"/>
  <c r="F90" i="4"/>
  <c r="F91" i="4"/>
  <c r="F92" i="4"/>
  <c r="F93" i="4"/>
  <c r="F95" i="4"/>
  <c r="F96" i="4"/>
  <c r="F97" i="4"/>
  <c r="F98" i="4"/>
  <c r="F102" i="4"/>
  <c r="F103" i="4"/>
  <c r="F104" i="4"/>
  <c r="F105" i="4"/>
  <c r="F106" i="4"/>
  <c r="F107" i="4"/>
  <c r="F108" i="4"/>
  <c r="F109" i="4"/>
  <c r="F112" i="4"/>
  <c r="F113" i="4"/>
  <c r="F114" i="4"/>
  <c r="F115" i="4"/>
  <c r="F118" i="4"/>
  <c r="F120" i="4"/>
  <c r="F121" i="4"/>
  <c r="F122" i="4"/>
  <c r="F123" i="4"/>
  <c r="F124" i="4"/>
  <c r="F126" i="4"/>
  <c r="F127" i="4"/>
  <c r="F128" i="4"/>
  <c r="F129" i="4"/>
  <c r="F131" i="4"/>
  <c r="F132" i="4"/>
  <c r="F133" i="4"/>
  <c r="F134" i="4"/>
  <c r="F137" i="4"/>
  <c r="F138" i="4"/>
  <c r="F139" i="4"/>
  <c r="F143" i="4"/>
  <c r="F144" i="4"/>
  <c r="F146" i="4"/>
  <c r="F147" i="4"/>
  <c r="F148" i="4"/>
  <c r="F151" i="4"/>
  <c r="F152" i="4"/>
  <c r="F154" i="4"/>
  <c r="F155" i="4"/>
  <c r="F156" i="4"/>
  <c r="F157" i="4"/>
  <c r="F158" i="4"/>
  <c r="F161" i="4"/>
  <c r="F162" i="4"/>
  <c r="F163" i="4"/>
  <c r="F164" i="4"/>
  <c r="F165" i="4"/>
  <c r="F167" i="4"/>
  <c r="F168" i="4"/>
  <c r="F169" i="4"/>
  <c r="F170" i="4"/>
  <c r="F172" i="4"/>
  <c r="F173" i="4"/>
  <c r="F174" i="4"/>
  <c r="F175" i="4"/>
  <c r="F177" i="4"/>
  <c r="F178" i="4"/>
  <c r="F179" i="4"/>
  <c r="F180" i="4"/>
  <c r="F181" i="4"/>
  <c r="F183" i="4"/>
  <c r="F184" i="4"/>
  <c r="F185" i="4"/>
  <c r="F186" i="4"/>
  <c r="F189" i="4"/>
  <c r="F190" i="4"/>
  <c r="F191" i="4"/>
  <c r="F192" i="4"/>
  <c r="F194" i="4"/>
  <c r="F196" i="4"/>
  <c r="F197" i="4"/>
  <c r="F198" i="4"/>
  <c r="F199" i="4"/>
  <c r="F200" i="4"/>
  <c r="F201" i="4"/>
  <c r="F203" i="4"/>
  <c r="F204" i="4"/>
  <c r="F206" i="4"/>
  <c r="F207" i="4"/>
  <c r="F210" i="4"/>
  <c r="F211" i="4"/>
  <c r="F213" i="4"/>
  <c r="F215" i="4"/>
  <c r="F216" i="4"/>
  <c r="F217" i="4"/>
  <c r="F218" i="4"/>
  <c r="F219" i="4"/>
  <c r="F221" i="4"/>
  <c r="F223" i="4"/>
  <c r="F224" i="4"/>
  <c r="F226" i="4"/>
  <c r="F227" i="4"/>
  <c r="F228" i="4"/>
  <c r="F231" i="4"/>
  <c r="F232" i="4"/>
  <c r="F240" i="4"/>
  <c r="F241" i="4"/>
  <c r="F244" i="4"/>
  <c r="F245" i="4"/>
  <c r="F246" i="4"/>
  <c r="F253" i="4"/>
  <c r="F254" i="4"/>
  <c r="F255" i="4"/>
  <c r="F256" i="4"/>
  <c r="F257" i="4"/>
  <c r="F258" i="4"/>
  <c r="F259" i="4"/>
  <c r="F260" i="4"/>
  <c r="F261" i="4"/>
  <c r="F262" i="4"/>
  <c r="F265" i="4"/>
  <c r="F266" i="4"/>
  <c r="F267" i="4"/>
  <c r="F270" i="4"/>
  <c r="F271" i="4"/>
  <c r="F273" i="4"/>
  <c r="F274" i="4"/>
  <c r="F275" i="4"/>
  <c r="F277" i="4"/>
  <c r="F279" i="4"/>
  <c r="F280" i="4"/>
  <c r="F281" i="4"/>
  <c r="F283" i="4"/>
  <c r="F2" i="4"/>
  <c r="F17" i="2" l="1"/>
  <c r="F18" i="2"/>
  <c r="F19" i="2"/>
  <c r="F20" i="2"/>
  <c r="F21" i="2"/>
  <c r="F22" i="2"/>
  <c r="F23" i="2"/>
  <c r="F24" i="2"/>
  <c r="F16" i="2"/>
  <c r="E19" i="2" l="1"/>
  <c r="D25" i="2" l="1"/>
  <c r="F25" i="2" s="1"/>
  <c r="C25" i="2"/>
  <c r="E17" i="2"/>
  <c r="E18" i="2"/>
  <c r="E20" i="2"/>
  <c r="E21" i="2"/>
  <c r="E22" i="2"/>
  <c r="E23" i="2"/>
  <c r="E24" i="2"/>
  <c r="E16" i="2"/>
  <c r="E25" i="2" l="1"/>
  <c r="B239" i="4"/>
  <c r="B251" i="4"/>
  <c r="B285" i="4"/>
  <c r="B268" i="4"/>
  <c r="E264" i="4"/>
  <c r="B272" i="4"/>
  <c r="B263" i="4"/>
  <c r="B278" i="4"/>
  <c r="B286" i="4" l="1"/>
  <c r="C10" i="2" s="1"/>
  <c r="B100" i="4"/>
  <c r="B86" i="4"/>
  <c r="B80" i="4"/>
  <c r="B76" i="4"/>
  <c r="C287" i="4"/>
  <c r="D140" i="4"/>
  <c r="F140" i="4" s="1"/>
  <c r="E7" i="4" l="1"/>
  <c r="E8" i="4"/>
  <c r="E13" i="4"/>
  <c r="E49" i="4"/>
  <c r="E54" i="4"/>
  <c r="E70" i="4"/>
  <c r="E99" i="4"/>
  <c r="E110" i="4"/>
  <c r="E117" i="4"/>
  <c r="E136" i="4"/>
  <c r="E141" i="4"/>
  <c r="E142" i="4"/>
  <c r="E150" i="4"/>
  <c r="E193" i="4"/>
  <c r="E212" i="4"/>
  <c r="E222" i="4"/>
  <c r="E284" i="4"/>
  <c r="E282" i="4"/>
  <c r="E276" i="4"/>
  <c r="E269" i="4"/>
  <c r="E280" i="4"/>
  <c r="E281" i="4"/>
  <c r="E283" i="4"/>
  <c r="E279" i="4"/>
  <c r="E274" i="4"/>
  <c r="E275" i="4"/>
  <c r="E277" i="4"/>
  <c r="E273" i="4"/>
  <c r="E270" i="4"/>
  <c r="E271" i="4"/>
  <c r="E265" i="4"/>
  <c r="E266" i="4"/>
  <c r="E267" i="4"/>
  <c r="E254" i="4"/>
  <c r="E255" i="4"/>
  <c r="E256" i="4"/>
  <c r="E257" i="4"/>
  <c r="E258" i="4"/>
  <c r="E259" i="4"/>
  <c r="E260" i="4"/>
  <c r="E261" i="4"/>
  <c r="E262" i="4"/>
  <c r="E253" i="4"/>
  <c r="E242" i="4"/>
  <c r="E250" i="4"/>
  <c r="E249" i="4"/>
  <c r="E248" i="4"/>
  <c r="E245" i="4"/>
  <c r="E246" i="4"/>
  <c r="E244" i="4"/>
  <c r="E233" i="4"/>
  <c r="E236" i="4"/>
  <c r="E237" i="4"/>
  <c r="E238" i="4"/>
  <c r="E235" i="4"/>
  <c r="E241" i="4"/>
  <c r="E232" i="4"/>
  <c r="E240" i="4"/>
  <c r="E231" i="4"/>
  <c r="E227" i="4"/>
  <c r="E228" i="4"/>
  <c r="E226" i="4"/>
  <c r="E223" i="4"/>
  <c r="E224" i="4"/>
  <c r="E216" i="4"/>
  <c r="E217" i="4"/>
  <c r="E218" i="4"/>
  <c r="E219" i="4"/>
  <c r="E211" i="4"/>
  <c r="E213" i="4"/>
  <c r="E221" i="4"/>
  <c r="E215" i="4"/>
  <c r="E210" i="4"/>
  <c r="E207" i="4"/>
  <c r="E206" i="4"/>
  <c r="E204" i="4"/>
  <c r="E197" i="4"/>
  <c r="E198" i="4"/>
  <c r="E199" i="4"/>
  <c r="E200" i="4"/>
  <c r="E201" i="4"/>
  <c r="E190" i="4"/>
  <c r="E191" i="4"/>
  <c r="E192" i="4"/>
  <c r="E194" i="4"/>
  <c r="E203" i="4"/>
  <c r="E196" i="4"/>
  <c r="E189" i="4"/>
  <c r="E184" i="4"/>
  <c r="E185" i="4"/>
  <c r="E186" i="4"/>
  <c r="E178" i="4"/>
  <c r="E179" i="4"/>
  <c r="E180" i="4"/>
  <c r="E181" i="4"/>
  <c r="E173" i="4"/>
  <c r="E174" i="4"/>
  <c r="E175" i="4"/>
  <c r="E183" i="4"/>
  <c r="E177" i="4"/>
  <c r="E172" i="4"/>
  <c r="E168" i="4"/>
  <c r="E169" i="4"/>
  <c r="E170" i="4"/>
  <c r="E167" i="4"/>
  <c r="E162" i="4"/>
  <c r="E163" i="4"/>
  <c r="E164" i="4"/>
  <c r="E165" i="4"/>
  <c r="E161" i="4"/>
  <c r="E155" i="4"/>
  <c r="E156" i="4"/>
  <c r="E157" i="4"/>
  <c r="E158" i="4"/>
  <c r="E154" i="4"/>
  <c r="E151" i="4"/>
  <c r="E152" i="4"/>
  <c r="E147" i="4"/>
  <c r="E148" i="4"/>
  <c r="E146" i="4"/>
  <c r="E143" i="4"/>
  <c r="E144" i="4"/>
  <c r="E137" i="4"/>
  <c r="E138" i="4"/>
  <c r="E139" i="4"/>
  <c r="E132" i="4"/>
  <c r="E133" i="4"/>
  <c r="E134" i="4"/>
  <c r="E131" i="4"/>
  <c r="E127" i="4"/>
  <c r="E128" i="4"/>
  <c r="E129" i="4"/>
  <c r="E126" i="4"/>
  <c r="E121" i="4"/>
  <c r="E122" i="4"/>
  <c r="E123" i="4"/>
  <c r="E124" i="4"/>
  <c r="E120" i="4"/>
  <c r="E118" i="4"/>
  <c r="E113" i="4"/>
  <c r="E114" i="4"/>
  <c r="E115" i="4"/>
  <c r="E112" i="4"/>
  <c r="E103" i="4"/>
  <c r="E104" i="4"/>
  <c r="E105" i="4"/>
  <c r="E106" i="4"/>
  <c r="E107" i="4"/>
  <c r="E108" i="4"/>
  <c r="E109" i="4"/>
  <c r="E96" i="4"/>
  <c r="E97" i="4"/>
  <c r="E98" i="4"/>
  <c r="E95" i="4"/>
  <c r="E88" i="4"/>
  <c r="E89" i="4"/>
  <c r="E90" i="4"/>
  <c r="E91" i="4"/>
  <c r="E92" i="4"/>
  <c r="E93" i="4"/>
  <c r="E87" i="4"/>
  <c r="E82" i="4"/>
  <c r="E83" i="4"/>
  <c r="E84" i="4"/>
  <c r="E85" i="4"/>
  <c r="E81" i="4"/>
  <c r="E78" i="4"/>
  <c r="E79" i="4"/>
  <c r="E77" i="4"/>
  <c r="E74" i="4"/>
  <c r="E75" i="4"/>
  <c r="E73" i="4"/>
  <c r="E69" i="4"/>
  <c r="E65" i="4"/>
  <c r="E66" i="4"/>
  <c r="E67" i="4"/>
  <c r="E64" i="4"/>
  <c r="E58" i="4"/>
  <c r="E59" i="4"/>
  <c r="E60" i="4"/>
  <c r="E61" i="4"/>
  <c r="E62" i="4"/>
  <c r="E57" i="4"/>
  <c r="E53" i="4"/>
  <c r="E55" i="4"/>
  <c r="E52" i="4"/>
  <c r="E50" i="4"/>
  <c r="E42" i="4"/>
  <c r="E43" i="4"/>
  <c r="E44" i="4"/>
  <c r="E45" i="4"/>
  <c r="E46" i="4"/>
  <c r="E41" i="4"/>
  <c r="E37" i="4"/>
  <c r="E38" i="4"/>
  <c r="E39" i="4"/>
  <c r="E36" i="4"/>
  <c r="E31" i="4"/>
  <c r="E32" i="4"/>
  <c r="E33" i="4"/>
  <c r="E34" i="4"/>
  <c r="E30" i="4"/>
  <c r="E27" i="4"/>
  <c r="E28" i="4"/>
  <c r="E26" i="4"/>
  <c r="E20" i="4"/>
  <c r="E21" i="4"/>
  <c r="E22" i="4"/>
  <c r="E23" i="4"/>
  <c r="E24" i="4"/>
  <c r="E19" i="4"/>
  <c r="E17" i="4"/>
  <c r="E14" i="4"/>
  <c r="E15" i="4"/>
  <c r="E16" i="4"/>
  <c r="E9" i="4"/>
  <c r="E10" i="4"/>
  <c r="E11" i="4"/>
  <c r="E3" i="4"/>
  <c r="E4" i="4"/>
  <c r="E5" i="4"/>
  <c r="E2" i="4"/>
  <c r="D285" i="4"/>
  <c r="F285" i="4" s="1"/>
  <c r="D278" i="4"/>
  <c r="F278" i="4" s="1"/>
  <c r="D272" i="4"/>
  <c r="F272" i="4" s="1"/>
  <c r="D268" i="4"/>
  <c r="F268" i="4" s="1"/>
  <c r="F263" i="4"/>
  <c r="D251" i="4"/>
  <c r="F251" i="4" s="1"/>
  <c r="D247" i="4"/>
  <c r="B247" i="4"/>
  <c r="B252" i="4" s="1"/>
  <c r="D243" i="4"/>
  <c r="F243" i="4" s="1"/>
  <c r="B243" i="4"/>
  <c r="D239" i="4"/>
  <c r="F239" i="4" s="1"/>
  <c r="D234" i="4"/>
  <c r="F234" i="4" s="1"/>
  <c r="B234" i="4"/>
  <c r="D229" i="4"/>
  <c r="B229" i="4"/>
  <c r="D225" i="4"/>
  <c r="F225" i="4" s="1"/>
  <c r="B225" i="4"/>
  <c r="D220" i="4"/>
  <c r="B220" i="4"/>
  <c r="B230" i="4" s="1"/>
  <c r="C8" i="2" s="1"/>
  <c r="D214" i="4"/>
  <c r="F214" i="4" s="1"/>
  <c r="B214" i="4"/>
  <c r="D208" i="4"/>
  <c r="B208" i="4"/>
  <c r="D205" i="4"/>
  <c r="B205" i="4"/>
  <c r="D202" i="4"/>
  <c r="B202" i="4"/>
  <c r="D195" i="4"/>
  <c r="B195" i="4"/>
  <c r="D187" i="4"/>
  <c r="B187" i="4"/>
  <c r="D182" i="4"/>
  <c r="B182" i="4"/>
  <c r="D176" i="4"/>
  <c r="B176" i="4"/>
  <c r="D171" i="4"/>
  <c r="B171" i="4"/>
  <c r="D166" i="4"/>
  <c r="B166" i="4"/>
  <c r="D159" i="4"/>
  <c r="B159" i="4"/>
  <c r="D153" i="4"/>
  <c r="F153" i="4" s="1"/>
  <c r="B153" i="4"/>
  <c r="D149" i="4"/>
  <c r="B149" i="4"/>
  <c r="D145" i="4"/>
  <c r="F145" i="4" s="1"/>
  <c r="B145" i="4"/>
  <c r="B140" i="4"/>
  <c r="D135" i="4"/>
  <c r="B135" i="4"/>
  <c r="D130" i="4"/>
  <c r="B130" i="4"/>
  <c r="D125" i="4"/>
  <c r="B125" i="4"/>
  <c r="D119" i="4"/>
  <c r="F119" i="4" s="1"/>
  <c r="B119" i="4"/>
  <c r="D116" i="4"/>
  <c r="B116" i="4"/>
  <c r="D111" i="4"/>
  <c r="B111" i="4"/>
  <c r="D100" i="4"/>
  <c r="F100" i="4" s="1"/>
  <c r="D94" i="4"/>
  <c r="B94" i="4"/>
  <c r="B101" i="4" s="1"/>
  <c r="C4" i="2" s="1"/>
  <c r="D86" i="4"/>
  <c r="F86" i="4" s="1"/>
  <c r="D80" i="4"/>
  <c r="F80" i="4" s="1"/>
  <c r="D76" i="4"/>
  <c r="F76" i="4" s="1"/>
  <c r="F71" i="4"/>
  <c r="B71" i="4"/>
  <c r="B68" i="4"/>
  <c r="B63" i="4"/>
  <c r="F56" i="4"/>
  <c r="B56" i="4"/>
  <c r="F51" i="4"/>
  <c r="B51" i="4"/>
  <c r="D47" i="4"/>
  <c r="B47" i="4"/>
  <c r="D40" i="4"/>
  <c r="B40" i="4"/>
  <c r="D35" i="4"/>
  <c r="B35" i="4"/>
  <c r="D29" i="4"/>
  <c r="B29" i="4"/>
  <c r="D25" i="4"/>
  <c r="B25" i="4"/>
  <c r="D18" i="4"/>
  <c r="F18" i="4" s="1"/>
  <c r="B18" i="4"/>
  <c r="D12" i="4"/>
  <c r="F12" i="4" s="1"/>
  <c r="B12" i="4"/>
  <c r="D6" i="4"/>
  <c r="B6" i="4"/>
  <c r="E234" i="4" l="1"/>
  <c r="E208" i="4"/>
  <c r="B48" i="4"/>
  <c r="C2" i="2" s="1"/>
  <c r="E268" i="4"/>
  <c r="F6" i="4"/>
  <c r="F29" i="4"/>
  <c r="F40" i="4"/>
  <c r="F63" i="4"/>
  <c r="F111" i="4"/>
  <c r="F130" i="4"/>
  <c r="F247" i="4"/>
  <c r="E153" i="4"/>
  <c r="E243" i="4"/>
  <c r="F25" i="4"/>
  <c r="F35" i="4"/>
  <c r="F149" i="4"/>
  <c r="F159" i="4"/>
  <c r="F171" i="4"/>
  <c r="F182" i="4"/>
  <c r="F195" i="4"/>
  <c r="F205" i="4"/>
  <c r="F94" i="4"/>
  <c r="F166" i="4"/>
  <c r="F176" i="4"/>
  <c r="F187" i="4"/>
  <c r="F202" i="4"/>
  <c r="F208" i="4"/>
  <c r="F220" i="4"/>
  <c r="F229" i="4"/>
  <c r="F47" i="4"/>
  <c r="F68" i="4"/>
  <c r="F116" i="4"/>
  <c r="F125" i="4"/>
  <c r="F135" i="4"/>
  <c r="B209" i="4"/>
  <c r="C7" i="2" s="1"/>
  <c r="B72" i="4"/>
  <c r="C3" i="2" s="1"/>
  <c r="E272" i="4"/>
  <c r="E68" i="4"/>
  <c r="E225" i="4"/>
  <c r="E51" i="4"/>
  <c r="E6" i="4"/>
  <c r="B160" i="4"/>
  <c r="C5" i="2" s="1"/>
  <c r="B188" i="4"/>
  <c r="C6" i="2" s="1"/>
  <c r="E12" i="4"/>
  <c r="E116" i="4"/>
  <c r="E130" i="4"/>
  <c r="E149" i="4"/>
  <c r="E202" i="4"/>
  <c r="E205" i="4"/>
  <c r="E229" i="4"/>
  <c r="E247" i="4"/>
  <c r="E140" i="4"/>
  <c r="C9" i="2"/>
  <c r="E63" i="4"/>
  <c r="E76" i="4"/>
  <c r="D286" i="4"/>
  <c r="E159" i="4"/>
  <c r="E145" i="4"/>
  <c r="E119" i="4"/>
  <c r="D160" i="4"/>
  <c r="E135" i="4"/>
  <c r="E111" i="4"/>
  <c r="D48" i="4"/>
  <c r="E18" i="4"/>
  <c r="E25" i="4"/>
  <c r="E29" i="4"/>
  <c r="E56" i="4"/>
  <c r="E285" i="4"/>
  <c r="D252" i="4"/>
  <c r="F252" i="4" s="1"/>
  <c r="E239" i="4"/>
  <c r="E251" i="4"/>
  <c r="E187" i="4"/>
  <c r="E171" i="4"/>
  <c r="E166" i="4"/>
  <c r="D188" i="4"/>
  <c r="E176" i="4"/>
  <c r="D209" i="4"/>
  <c r="E195" i="4"/>
  <c r="E220" i="4"/>
  <c r="D230" i="4"/>
  <c r="E100" i="4"/>
  <c r="E80" i="4"/>
  <c r="D101" i="4"/>
  <c r="E94" i="4"/>
  <c r="E86" i="4"/>
  <c r="E278" i="4"/>
  <c r="E263" i="4"/>
  <c r="E214" i="4"/>
  <c r="E182" i="4"/>
  <c r="E125" i="4"/>
  <c r="E71" i="4"/>
  <c r="E40" i="4"/>
  <c r="E35" i="4"/>
  <c r="E47" i="4"/>
  <c r="F48" i="4" l="1"/>
  <c r="E286" i="4"/>
  <c r="E10" i="2" s="1"/>
  <c r="C11" i="2"/>
  <c r="D6" i="2"/>
  <c r="F6" i="2" s="1"/>
  <c r="F188" i="4"/>
  <c r="D5" i="2"/>
  <c r="F5" i="2" s="1"/>
  <c r="F160" i="4"/>
  <c r="D7" i="2"/>
  <c r="F7" i="2" s="1"/>
  <c r="F209" i="4"/>
  <c r="D4" i="2"/>
  <c r="F4" i="2" s="1"/>
  <c r="F101" i="4"/>
  <c r="D3" i="2"/>
  <c r="F3" i="2" s="1"/>
  <c r="F72" i="4"/>
  <c r="D10" i="2"/>
  <c r="F10" i="2" s="1"/>
  <c r="F286" i="4"/>
  <c r="D8" i="2"/>
  <c r="F8" i="2" s="1"/>
  <c r="F230" i="4"/>
  <c r="E230" i="4"/>
  <c r="E8" i="2" s="1"/>
  <c r="E209" i="4"/>
  <c r="E7" i="2" s="1"/>
  <c r="E101" i="4"/>
  <c r="E4" i="2" s="1"/>
  <c r="E72" i="4"/>
  <c r="E3" i="2" s="1"/>
  <c r="B287" i="4"/>
  <c r="D9" i="2"/>
  <c r="F9" i="2" s="1"/>
  <c r="D287" i="4"/>
  <c r="E252" i="4"/>
  <c r="E9" i="2" s="1"/>
  <c r="E188" i="4"/>
  <c r="E6" i="2" s="1"/>
  <c r="E160" i="4"/>
  <c r="E5" i="2" s="1"/>
  <c r="D2" i="2"/>
  <c r="F2" i="2" s="1"/>
  <c r="E48" i="4"/>
  <c r="E2" i="2" l="1"/>
  <c r="E11" i="2" s="1"/>
  <c r="E287" i="4"/>
  <c r="F287" i="4"/>
  <c r="D11" i="2"/>
  <c r="F11" i="2" s="1"/>
</calcChain>
</file>

<file path=xl/sharedStrings.xml><?xml version="1.0" encoding="utf-8"?>
<sst xmlns="http://schemas.openxmlformats.org/spreadsheetml/2006/main" count="4556" uniqueCount="412">
  <si>
    <t>#</t>
  </si>
  <si>
    <t>Province</t>
  </si>
  <si>
    <t>Region</t>
  </si>
  <si>
    <t>Municipality</t>
  </si>
  <si>
    <t>Ward</t>
  </si>
  <si>
    <t>Valid Membership</t>
  </si>
  <si>
    <t>Kwa-Zulu Natal</t>
  </si>
  <si>
    <t>eThekwini</t>
  </si>
  <si>
    <t>ETH - Central</t>
  </si>
  <si>
    <t>BGA</t>
  </si>
  <si>
    <t>ETH - Far South</t>
  </si>
  <si>
    <t>ETH - South</t>
  </si>
  <si>
    <t>ETH - Outer West</t>
  </si>
  <si>
    <t>Harry Gwala</t>
  </si>
  <si>
    <t>Greater Kokstad</t>
  </si>
  <si>
    <t>Umzimkhulu</t>
  </si>
  <si>
    <t>Illembe</t>
  </si>
  <si>
    <t>KwaDukuza</t>
  </si>
  <si>
    <t>Umkhanyakude</t>
  </si>
  <si>
    <t>Mtubatuba</t>
  </si>
  <si>
    <t>Gauteng</t>
  </si>
  <si>
    <t>Ekurhuleni</t>
  </si>
  <si>
    <t>EKU - North</t>
  </si>
  <si>
    <t>EKU - Central</t>
  </si>
  <si>
    <t>EKU - South</t>
  </si>
  <si>
    <t>EKU - East</t>
  </si>
  <si>
    <t>EKU - Far East</t>
  </si>
  <si>
    <t>BPA</t>
  </si>
  <si>
    <t>Johannesburg</t>
  </si>
  <si>
    <t>JHB - G</t>
  </si>
  <si>
    <t>JHB - D</t>
  </si>
  <si>
    <t>JHB - C</t>
  </si>
  <si>
    <t>JHB - F</t>
  </si>
  <si>
    <t>JHB - A</t>
  </si>
  <si>
    <t>JHB - E</t>
  </si>
  <si>
    <t>Sedibeng</t>
  </si>
  <si>
    <t>Emfuleni</t>
  </si>
  <si>
    <t>Tshwane</t>
  </si>
  <si>
    <t>TSH - 1</t>
  </si>
  <si>
    <t>TSH - 3</t>
  </si>
  <si>
    <t>TSH - 2</t>
  </si>
  <si>
    <t>TSH - 6</t>
  </si>
  <si>
    <t>West Rand</t>
  </si>
  <si>
    <t>Merafong City</t>
  </si>
  <si>
    <t>Mogale City</t>
  </si>
  <si>
    <t>Eastern Cape</t>
  </si>
  <si>
    <t>Northern Cape</t>
  </si>
  <si>
    <t>John Taolo Gaetsewe</t>
  </si>
  <si>
    <t>Ga-Segonyana</t>
  </si>
  <si>
    <t>North West</t>
  </si>
  <si>
    <t>Bojanala</t>
  </si>
  <si>
    <t>Madibeng</t>
  </si>
  <si>
    <t>Moses Kotane</t>
  </si>
  <si>
    <t>Rustenburg</t>
  </si>
  <si>
    <t>Dr Ruth</t>
  </si>
  <si>
    <t>Lekwa-Teemane</t>
  </si>
  <si>
    <t>Limpopo</t>
  </si>
  <si>
    <t>Capricorn</t>
  </si>
  <si>
    <t>Blouberg</t>
  </si>
  <si>
    <t>Lepele-Nkumpi</t>
  </si>
  <si>
    <t>Polokwane</t>
  </si>
  <si>
    <t>Mopani</t>
  </si>
  <si>
    <t>Greater Giyani</t>
  </si>
  <si>
    <t>Sekhukhune</t>
  </si>
  <si>
    <t>Elias Motswaledi</t>
  </si>
  <si>
    <t>Waterberg</t>
  </si>
  <si>
    <t>Mogalakwena</t>
  </si>
  <si>
    <t>Mpumalanga</t>
  </si>
  <si>
    <t>Ehlanzeni</t>
  </si>
  <si>
    <t>Nkomazi</t>
  </si>
  <si>
    <t>Chief Albert Luthuli</t>
  </si>
  <si>
    <t>Nkangala</t>
  </si>
  <si>
    <t>Emalahleni</t>
  </si>
  <si>
    <t>Steve Tshwete</t>
  </si>
  <si>
    <t>PROVINCE</t>
  </si>
  <si>
    <t>NUMBER OF IEC WARDS</t>
  </si>
  <si>
    <t>1.</t>
  </si>
  <si>
    <t>2.</t>
  </si>
  <si>
    <t>Free State</t>
  </si>
  <si>
    <t>3.</t>
  </si>
  <si>
    <t>4.</t>
  </si>
  <si>
    <t>KwaZulu-Natal</t>
  </si>
  <si>
    <t>5.</t>
  </si>
  <si>
    <t>6.</t>
  </si>
  <si>
    <t>7.</t>
  </si>
  <si>
    <t>8.</t>
  </si>
  <si>
    <t>9.</t>
  </si>
  <si>
    <t>Western Cape</t>
  </si>
  <si>
    <t>TOTAL</t>
  </si>
  <si>
    <t>TOTAL NUMBER OF WARDS WITH 200 OR MORE VALID MEMBERSHIP</t>
  </si>
  <si>
    <t>TOTAL NUMBER OF WARDS WITH LESS THAN 200 VALID MEMBERSHIP</t>
  </si>
  <si>
    <t>Nelson Mandela Bay</t>
  </si>
  <si>
    <t>NMA - Zola Nqini</t>
  </si>
  <si>
    <t>Bohlabela</t>
  </si>
  <si>
    <t>Bushbuckridge</t>
  </si>
  <si>
    <t>City of Mbombela</t>
  </si>
  <si>
    <t>Dr JS Moroka</t>
  </si>
  <si>
    <t>MUNICIPALITY/ DISTRICTS</t>
  </si>
  <si>
    <t>EASTERN CAPE</t>
  </si>
  <si>
    <t>BUF-Duncan Village</t>
  </si>
  <si>
    <t>BUF-East London</t>
  </si>
  <si>
    <t>BUF-King Williams Town</t>
  </si>
  <si>
    <t>BUF-Mdantsane</t>
  </si>
  <si>
    <t>Dr. Beyers Naude / Blue Crane Route</t>
  </si>
  <si>
    <t>12 + 6 = 18</t>
  </si>
  <si>
    <t>Kouga / Kou-Kamma</t>
  </si>
  <si>
    <t>15 + 6 = 21</t>
  </si>
  <si>
    <t>Makana</t>
  </si>
  <si>
    <t>Ndlambe</t>
  </si>
  <si>
    <t>Sundays River Valley</t>
  </si>
  <si>
    <t>Amahlathi / Great Kei</t>
  </si>
  <si>
    <t>15 + 7 = 22</t>
  </si>
  <si>
    <t>Mbashe</t>
  </si>
  <si>
    <t>Mnquma</t>
  </si>
  <si>
    <t>Ngqushwa</t>
  </si>
  <si>
    <t>Raymond Mhlaba</t>
  </si>
  <si>
    <t>Inxuba Yethemba</t>
  </si>
  <si>
    <t>Intsika Yethu</t>
  </si>
  <si>
    <t>Dr AB Xuma</t>
  </si>
  <si>
    <t>Sakhisizwe</t>
  </si>
  <si>
    <t>Enoch Mgijima</t>
  </si>
  <si>
    <t>Elundini</t>
  </si>
  <si>
    <t>Senqu</t>
  </si>
  <si>
    <t>Walter Sisulu</t>
  </si>
  <si>
    <t>Ngquza Hill</t>
  </si>
  <si>
    <t>Port St Johns</t>
  </si>
  <si>
    <t>Mhlontlo</t>
  </si>
  <si>
    <t>King Sabata Dalindyebo</t>
  </si>
  <si>
    <t>Nyandeni</t>
  </si>
  <si>
    <t>Matatiele</t>
  </si>
  <si>
    <t>Umzimvubu</t>
  </si>
  <si>
    <t>Winnie Madikizela Mandela</t>
  </si>
  <si>
    <t>Ntabankulu</t>
  </si>
  <si>
    <t>NMA-Alex Matikama</t>
  </si>
  <si>
    <t>NMA-Champion Galela</t>
  </si>
  <si>
    <t>NMA-Govan Mbeki</t>
  </si>
  <si>
    <t>NMA-Molly Blackburn</t>
  </si>
  <si>
    <t>NMA-Zoli Nqini</t>
  </si>
  <si>
    <t>NMA-Lillian Diedericks</t>
  </si>
  <si>
    <t>FREE STATE</t>
  </si>
  <si>
    <t>Letsemeng / Mohokare</t>
  </si>
  <si>
    <t>7 + 7 = 14</t>
  </si>
  <si>
    <t>Kopanong</t>
  </si>
  <si>
    <t>Nala</t>
  </si>
  <si>
    <t>Matjhabeng</t>
  </si>
  <si>
    <t>Tswelopele / Tokologo</t>
  </si>
  <si>
    <t>9 + 7 = 16</t>
  </si>
  <si>
    <t>Masilonyana</t>
  </si>
  <si>
    <t>Mantsopa</t>
  </si>
  <si>
    <t>Setsoto</t>
  </si>
  <si>
    <t>Phumelela</t>
  </si>
  <si>
    <t>Maluti-a-phofung</t>
  </si>
  <si>
    <t>Nketoana</t>
  </si>
  <si>
    <t>Dihlabeng</t>
  </si>
  <si>
    <t>Moqhaka</t>
  </si>
  <si>
    <t>Mafube</t>
  </si>
  <si>
    <t>Metsimaholo</t>
  </si>
  <si>
    <t>Ngwathe</t>
  </si>
  <si>
    <t>MAN-Bloemfontein</t>
  </si>
  <si>
    <t>MAN-Botshabelo / MAN-Thaba Nchu / MAN-Naledi</t>
  </si>
  <si>
    <t>12+5+2 = 19</t>
  </si>
  <si>
    <t>GAUTENG</t>
  </si>
  <si>
    <t>Midvaal</t>
  </si>
  <si>
    <t>Lesedi</t>
  </si>
  <si>
    <t>Rand West</t>
  </si>
  <si>
    <t>EKU – Central</t>
  </si>
  <si>
    <t>EKU – East</t>
  </si>
  <si>
    <t>EKU – North</t>
  </si>
  <si>
    <t>EKU – South</t>
  </si>
  <si>
    <t>JHB – A</t>
  </si>
  <si>
    <t>JHB – B</t>
  </si>
  <si>
    <t>JHB – C</t>
  </si>
  <si>
    <t>JHB – D</t>
  </si>
  <si>
    <t>JHB – E</t>
  </si>
  <si>
    <t>JHB – F</t>
  </si>
  <si>
    <t>JHB – G</t>
  </si>
  <si>
    <t>TSH – 1</t>
  </si>
  <si>
    <t>TSH – 2</t>
  </si>
  <si>
    <t>TSH – 3</t>
  </si>
  <si>
    <t>TSH – 4</t>
  </si>
  <si>
    <t>TSH - 5 / TSH – 6</t>
  </si>
  <si>
    <t>26 + 5 = 31</t>
  </si>
  <si>
    <t>ETH – Central</t>
  </si>
  <si>
    <t>ETH - Far North</t>
  </si>
  <si>
    <t>ETH - Inner West</t>
  </si>
  <si>
    <t>ETH - North Central</t>
  </si>
  <si>
    <t>ETH - North West</t>
  </si>
  <si>
    <t>ETH – South</t>
  </si>
  <si>
    <t>ETH - South Central / ETH - South West</t>
  </si>
  <si>
    <t>Umuziwabantu</t>
  </si>
  <si>
    <t>Ray Nkonyeni</t>
  </si>
  <si>
    <t>Umdoni</t>
  </si>
  <si>
    <t>Umzumbe</t>
  </si>
  <si>
    <t>Newcastle / eMadlangeni</t>
  </si>
  <si>
    <t>34 + 6 = 40</t>
  </si>
  <si>
    <t>Dannhauser</t>
  </si>
  <si>
    <t>Abaqulusi</t>
  </si>
  <si>
    <t>EDumbe</t>
  </si>
  <si>
    <t>Nongoma</t>
  </si>
  <si>
    <t>Ulundi</t>
  </si>
  <si>
    <t>Uphongolo</t>
  </si>
  <si>
    <t>Big 5 Hlabisa</t>
  </si>
  <si>
    <t>Jozini</t>
  </si>
  <si>
    <t>Umhlabuyalingana</t>
  </si>
  <si>
    <t>Mandeni</t>
  </si>
  <si>
    <t>Maphumulo</t>
  </si>
  <si>
    <t>Ndwedwe</t>
  </si>
  <si>
    <t>Dr. Nkosasana Dlamini Zuma / Impendle</t>
  </si>
  <si>
    <t>15 + 5 = 20</t>
  </si>
  <si>
    <t>Ubuhlebezwe</t>
  </si>
  <si>
    <t>Msunduzi / Mpofana</t>
  </si>
  <si>
    <t>41 + 5 = 46</t>
  </si>
  <si>
    <t>Richmond / Mkhambathini</t>
  </si>
  <si>
    <t xml:space="preserve">uMngeni </t>
  </si>
  <si>
    <t>uMshwathi</t>
  </si>
  <si>
    <t>Alfred Duma</t>
  </si>
  <si>
    <t>iNkosi Langalibalele</t>
  </si>
  <si>
    <t>Okhahlamba</t>
  </si>
  <si>
    <t>Nqutu / Endumeni</t>
  </si>
  <si>
    <t>19 + 7 = 26</t>
  </si>
  <si>
    <t>Umsinga</t>
  </si>
  <si>
    <t>Umvoti</t>
  </si>
  <si>
    <t>Mthonjaneni</t>
  </si>
  <si>
    <t>Nkandla</t>
  </si>
  <si>
    <t>uMfolozi</t>
  </si>
  <si>
    <t>uMhlathuze</t>
  </si>
  <si>
    <t>Umlalazi</t>
  </si>
  <si>
    <t>LIMPOPO</t>
  </si>
  <si>
    <t>Greater Tzaneen</t>
  </si>
  <si>
    <t>Maruleng</t>
  </si>
  <si>
    <t>Greater Letaba</t>
  </si>
  <si>
    <t xml:space="preserve">Ba-Phalaborwa </t>
  </si>
  <si>
    <t>Thulamela</t>
  </si>
  <si>
    <t>Makhado</t>
  </si>
  <si>
    <t>Collins Chabane</t>
  </si>
  <si>
    <t>Musina</t>
  </si>
  <si>
    <t>Lepele Nkumpi</t>
  </si>
  <si>
    <t>MoleMole</t>
  </si>
  <si>
    <t>Thabazimbi</t>
  </si>
  <si>
    <t>Lephalale</t>
  </si>
  <si>
    <t>Bela-Bela</t>
  </si>
  <si>
    <t>Modimolle-Mokgophong</t>
  </si>
  <si>
    <t>Elias Motsoaledi</t>
  </si>
  <si>
    <t>Makhuduthamaga</t>
  </si>
  <si>
    <t>Fetakgomo Tubatse</t>
  </si>
  <si>
    <t>Ephraim Mogale</t>
  </si>
  <si>
    <t>MPUMALANGA</t>
  </si>
  <si>
    <t xml:space="preserve">Govan Mbeki </t>
  </si>
  <si>
    <t>Msukaligwa</t>
  </si>
  <si>
    <t>Mkhondo</t>
  </si>
  <si>
    <t>Lekwa / Dipaleseng</t>
  </si>
  <si>
    <t>15+6 =21</t>
  </si>
  <si>
    <t>Dr Pixley Ka Isaka Seme</t>
  </si>
  <si>
    <t>Thembisile Hani</t>
  </si>
  <si>
    <t>Emakhazeni</t>
  </si>
  <si>
    <t>Victor Khanye</t>
  </si>
  <si>
    <t>Thaba Chweu</t>
  </si>
  <si>
    <t>NORTH WEST</t>
  </si>
  <si>
    <t>Moretele</t>
  </si>
  <si>
    <t>Rustenburg / Kgetlengriver</t>
  </si>
  <si>
    <t>45 + 7 = 52</t>
  </si>
  <si>
    <t>Ratlou</t>
  </si>
  <si>
    <t>Tswaing</t>
  </si>
  <si>
    <t>Mafikeng</t>
  </si>
  <si>
    <t>Ditsobotla</t>
  </si>
  <si>
    <t>Ramotshere Moiloa</t>
  </si>
  <si>
    <t>Naledi</t>
  </si>
  <si>
    <t>Mamusa / Lekwa-Teemane</t>
  </si>
  <si>
    <t>8 + 7 = 15</t>
  </si>
  <si>
    <t>Greater Taung</t>
  </si>
  <si>
    <t>Kagisano Molopo</t>
  </si>
  <si>
    <t>Matlosana</t>
  </si>
  <si>
    <t>Maquassi Hills</t>
  </si>
  <si>
    <t>JB Marks</t>
  </si>
  <si>
    <t>NORTHERN CAPE</t>
  </si>
  <si>
    <t>Dawid Kruiper</t>
  </si>
  <si>
    <t xml:space="preserve">Kai !Garib </t>
  </si>
  <si>
    <t>Tsantsabane / Kgatelopele</t>
  </si>
  <si>
    <t>7 + 6 = 13</t>
  </si>
  <si>
    <t>Emthanjeni / Thembelihle / Renosterberg</t>
  </si>
  <si>
    <t>Ubuntu / Kareeberg</t>
  </si>
  <si>
    <t>6 + 6 = 12</t>
  </si>
  <si>
    <t>Siyancuma / Siyathemba</t>
  </si>
  <si>
    <t>Sol Plaatjie</t>
  </si>
  <si>
    <t>Dikgatlong</t>
  </si>
  <si>
    <t>Phokwane / Magareng</t>
  </si>
  <si>
    <t>10 + 6 = 16</t>
  </si>
  <si>
    <t>Joe Morolong</t>
  </si>
  <si>
    <t>Gamagara</t>
  </si>
  <si>
    <t>Hantam / !Kheis / Karoo Hoogland</t>
  </si>
  <si>
    <t>7 + 6 + 6 = 19</t>
  </si>
  <si>
    <t>Kamiesberg / KHÃ¢-Ma</t>
  </si>
  <si>
    <t>Nama Khoi / Richtersveld</t>
  </si>
  <si>
    <t>9 + 6 = 15</t>
  </si>
  <si>
    <t>WESTERN CAPE</t>
  </si>
  <si>
    <t>CPT - Zone 1</t>
  </si>
  <si>
    <t>CPT - Zone 2</t>
  </si>
  <si>
    <t>CPT - Zone 3</t>
  </si>
  <si>
    <t>CPT - Zone 4</t>
  </si>
  <si>
    <t>CPT - Zone 5</t>
  </si>
  <si>
    <t>CPT - Zone 6</t>
  </si>
  <si>
    <t>CPT - Zone 7</t>
  </si>
  <si>
    <t>CPT - Zone 8</t>
  </si>
  <si>
    <t>CPT - Zone 9</t>
  </si>
  <si>
    <t>CPT - Zone 10</t>
  </si>
  <si>
    <t>Bergrivier / Cederberg</t>
  </si>
  <si>
    <t>Saldanha Bay</t>
  </si>
  <si>
    <t>Matzikama</t>
  </si>
  <si>
    <t>Swartland</t>
  </si>
  <si>
    <t>Cape Agulhas / Swellendam</t>
  </si>
  <si>
    <t>Overstrand</t>
  </si>
  <si>
    <t>Theewaterskloof</t>
  </si>
  <si>
    <t>Breede Valley</t>
  </si>
  <si>
    <t>Drakenstein</t>
  </si>
  <si>
    <t>Stellenbosch</t>
  </si>
  <si>
    <t>Langeberg / Laingsburg</t>
  </si>
  <si>
    <t>12 + 4 = 16</t>
  </si>
  <si>
    <t>Witzenberg</t>
  </si>
  <si>
    <t>George</t>
  </si>
  <si>
    <t>Hessequa</t>
  </si>
  <si>
    <t xml:space="preserve">Kannaland </t>
  </si>
  <si>
    <t xml:space="preserve">Knysna / Bitou </t>
  </si>
  <si>
    <t>11 + 7 = 18</t>
  </si>
  <si>
    <t>Mossel Bay</t>
  </si>
  <si>
    <t>13 + 4 =17</t>
  </si>
  <si>
    <t>KWA-ZULU NATAL</t>
  </si>
  <si>
    <t>8+ 6 + 5 = 19</t>
  </si>
  <si>
    <t>NUMBER OF WARDS</t>
  </si>
  <si>
    <t>Fezile Dabi</t>
  </si>
  <si>
    <t>Lejweleputswa</t>
  </si>
  <si>
    <t>Thabo Mofutsanyana</t>
  </si>
  <si>
    <t>Xhariep</t>
  </si>
  <si>
    <t>Mohokare</t>
  </si>
  <si>
    <t>Umgugundlovu</t>
  </si>
  <si>
    <t>Msunduzi</t>
  </si>
  <si>
    <t>Ndwendwe</t>
  </si>
  <si>
    <t>UGU</t>
  </si>
  <si>
    <t>King Cetshwayo</t>
  </si>
  <si>
    <t>Molemole</t>
  </si>
  <si>
    <t>Baphalaborwa</t>
  </si>
  <si>
    <t>Vhembe</t>
  </si>
  <si>
    <t>Modimolle-Mookgophong</t>
  </si>
  <si>
    <t>Gert Sibande</t>
  </si>
  <si>
    <t>Govan Mbeki</t>
  </si>
  <si>
    <t>Mamusa</t>
  </si>
  <si>
    <t>Cape Metro</t>
  </si>
  <si>
    <t>JHB - B</t>
  </si>
  <si>
    <t>TSH - 4</t>
  </si>
  <si>
    <t>TSH - 5</t>
  </si>
  <si>
    <t>Rand West City</t>
  </si>
  <si>
    <t>Alfred Nzo</t>
  </si>
  <si>
    <t>Winnie Madikizela-Mandela</t>
  </si>
  <si>
    <t>Amathole</t>
  </si>
  <si>
    <t>Amahlathi</t>
  </si>
  <si>
    <t>Mbhashe</t>
  </si>
  <si>
    <t>Buffallo City</t>
  </si>
  <si>
    <t>BUF - East London</t>
  </si>
  <si>
    <t>BUF - Mdantsane</t>
  </si>
  <si>
    <t>Chris Hani</t>
  </si>
  <si>
    <t>Joe Gqabi</t>
  </si>
  <si>
    <t>NMA - Champion Galela</t>
  </si>
  <si>
    <t>NMA - Govan Mbeki</t>
  </si>
  <si>
    <t>NMA - Molly Blackburn</t>
  </si>
  <si>
    <t>OR Tambo</t>
  </si>
  <si>
    <t>Sarah Baartman</t>
  </si>
  <si>
    <t>Dr. Beyers Naude</t>
  </si>
  <si>
    <t>PERCENTAGE %</t>
  </si>
  <si>
    <t>BGA/BPA</t>
  </si>
  <si>
    <t>Francis Baard</t>
  </si>
  <si>
    <t>Phokwane</t>
  </si>
  <si>
    <t>Sol Plaatje</t>
  </si>
  <si>
    <t>Pixely Ka Seme</t>
  </si>
  <si>
    <t>Emathanjeni</t>
  </si>
  <si>
    <t>Kareeberg</t>
  </si>
  <si>
    <t>Thembelihle</t>
  </si>
  <si>
    <t>ZF Maqcawu/ Siyanda</t>
  </si>
  <si>
    <t>Kgatelopele</t>
  </si>
  <si>
    <t>Tsantsabane</t>
  </si>
  <si>
    <t>Amajuba</t>
  </si>
  <si>
    <t>Newcastle</t>
  </si>
  <si>
    <t>ETH - South West</t>
  </si>
  <si>
    <t>Dr. Nkosasana Dlamini Zuma</t>
  </si>
  <si>
    <t>Mkhambathini</t>
  </si>
  <si>
    <t>Richmond</t>
  </si>
  <si>
    <t>Big Five Hlabisa</t>
  </si>
  <si>
    <t>Zululand</t>
  </si>
  <si>
    <t>Dipaleseng</t>
  </si>
  <si>
    <t>Lekwa</t>
  </si>
  <si>
    <t>BUF - King Williams Town</t>
  </si>
  <si>
    <t>NMA - Lillian Diedericks</t>
  </si>
  <si>
    <t>Kouga</t>
  </si>
  <si>
    <t>Cape Winelands</t>
  </si>
  <si>
    <t>Langerberg</t>
  </si>
  <si>
    <t>Overberg</t>
  </si>
  <si>
    <t>Souuthern Cape</t>
  </si>
  <si>
    <t>Tswelopele</t>
  </si>
  <si>
    <t>Mangaung</t>
  </si>
  <si>
    <t>MAN - Bloemfontein</t>
  </si>
  <si>
    <t>MAN - Thaba Nchu</t>
  </si>
  <si>
    <t>Maluti a Phofung</t>
  </si>
  <si>
    <t>Kgetlengriver</t>
  </si>
  <si>
    <t>Dr Kenneth Kanuda</t>
  </si>
  <si>
    <t>Maqassi Hills</t>
  </si>
  <si>
    <t>Ngaka Modiri</t>
  </si>
  <si>
    <t>PERCENTAGE % TOWARDS SRPA</t>
  </si>
  <si>
    <t>PERCENTAGE % TOWARDS BPA/BGA</t>
  </si>
  <si>
    <t>DEPLOYEE</t>
  </si>
  <si>
    <t>Umsombomvu / Beaufort West</t>
  </si>
  <si>
    <t>Oudtshoorn / Prince Albert</t>
  </si>
  <si>
    <t>MUNICIPALITY</t>
  </si>
  <si>
    <t>Kou-Kamma</t>
  </si>
  <si>
    <t xml:space="preserve">Oudtshoorn / Prince Albert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</si>
</sst>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67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/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5" fillId="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9" fontId="0" fillId="0" borderId="0" xfId="1" applyFont="1"/>
    <xf numFmtId="9" fontId="0" fillId="0" borderId="1" xfId="1" applyFont="1" applyBorder="1" applyAlignment="1">
      <alignment horizontal="center"/>
    </xf>
    <xf numFmtId="0" fontId="5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vertical="top" wrapText="1"/>
    </xf>
    <xf numFmtId="0" fontId="0" fillId="0" borderId="0" xfId="0" applyAlignment="1">
      <alignment vertical="top"/>
    </xf>
    <xf numFmtId="9" fontId="5" fillId="4" borderId="1" xfId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5" borderId="1" xfId="0" applyFont="1" applyFill="1" applyBorder="1"/>
    <xf numFmtId="0" fontId="3" fillId="5" borderId="4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9" fontId="0" fillId="0" borderId="1" xfId="1" applyFont="1" applyBorder="1"/>
    <xf numFmtId="9" fontId="0" fillId="4" borderId="1" xfId="1" applyFont="1" applyFill="1" applyBorder="1"/>
    <xf numFmtId="0" fontId="7" fillId="2" borderId="1" xfId="0" applyFont="1" applyFill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/>
    </xf>
    <xf numFmtId="9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1131-CB64-4906-9822-D04ECDF0D79D}">
  <dimension ref="A1:F25"/>
  <sheetViews>
    <sheetView topLeftCell="C1" workbookViewId="0">
      <selection activeCell="D2" sqref="D2:D10"/>
    </sheetView>
  </sheetViews>
  <sheetFormatPr defaultRowHeight="14.5" x14ac:dyDescent="0.35"/>
  <cols>
    <col min="1" max="1" width="5.81640625" style="11" customWidth="1"/>
    <col min="2" max="2" width="18.7265625" customWidth="1"/>
    <col min="3" max="3" width="16.81640625" customWidth="1"/>
    <col min="4" max="4" width="19.81640625" customWidth="1"/>
    <col min="5" max="5" width="22.7265625" customWidth="1"/>
    <col min="6" max="6" width="15.453125" customWidth="1"/>
  </cols>
  <sheetData>
    <row r="1" spans="1:6" ht="47" x14ac:dyDescent="0.35">
      <c r="A1" s="24" t="s">
        <v>0</v>
      </c>
      <c r="B1" s="7" t="s">
        <v>74</v>
      </c>
      <c r="C1" s="8" t="s">
        <v>327</v>
      </c>
      <c r="D1" s="8" t="s">
        <v>89</v>
      </c>
      <c r="E1" s="8" t="s">
        <v>90</v>
      </c>
      <c r="F1" s="28" t="s">
        <v>404</v>
      </c>
    </row>
    <row r="2" spans="1:6" x14ac:dyDescent="0.35">
      <c r="A2" s="10" t="s">
        <v>76</v>
      </c>
      <c r="B2" s="9" t="s">
        <v>45</v>
      </c>
      <c r="C2" s="10">
        <f>Sheet1!B48</f>
        <v>710</v>
      </c>
      <c r="D2" s="10">
        <f>Sheet1!D48</f>
        <v>297</v>
      </c>
      <c r="E2" s="10">
        <f>Sheet1!E48</f>
        <v>413</v>
      </c>
      <c r="F2" s="26">
        <f>D2/C2</f>
        <v>0.41830985915492958</v>
      </c>
    </row>
    <row r="3" spans="1:6" x14ac:dyDescent="0.35">
      <c r="A3" s="10" t="s">
        <v>77</v>
      </c>
      <c r="B3" s="9" t="s">
        <v>78</v>
      </c>
      <c r="C3" s="10">
        <f>Sheet1!B72</f>
        <v>319</v>
      </c>
      <c r="D3" s="10">
        <f>Sheet1!D72</f>
        <v>251</v>
      </c>
      <c r="E3" s="10">
        <f>Sheet1!E72</f>
        <v>68</v>
      </c>
      <c r="F3" s="26">
        <f t="shared" ref="F3:F10" si="0">D3/C3</f>
        <v>0.78683385579937304</v>
      </c>
    </row>
    <row r="4" spans="1:6" x14ac:dyDescent="0.35">
      <c r="A4" s="10" t="s">
        <v>79</v>
      </c>
      <c r="B4" s="9" t="s">
        <v>20</v>
      </c>
      <c r="C4" s="10">
        <f>Sheet1!B101</f>
        <v>529</v>
      </c>
      <c r="D4" s="10">
        <f>Sheet1!D101</f>
        <v>509</v>
      </c>
      <c r="E4" s="10">
        <f>Sheet1!E101</f>
        <v>20</v>
      </c>
      <c r="F4" s="26">
        <f t="shared" si="0"/>
        <v>0.96219281663516065</v>
      </c>
    </row>
    <row r="5" spans="1:6" x14ac:dyDescent="0.35">
      <c r="A5" s="10" t="s">
        <v>80</v>
      </c>
      <c r="B5" s="9" t="s">
        <v>81</v>
      </c>
      <c r="C5" s="10">
        <f>Sheet1!B160</f>
        <v>901</v>
      </c>
      <c r="D5" s="10">
        <f>Sheet1!D160</f>
        <v>265</v>
      </c>
      <c r="E5" s="10">
        <f>Sheet1!E160</f>
        <v>636</v>
      </c>
      <c r="F5" s="26">
        <f t="shared" si="0"/>
        <v>0.29411764705882354</v>
      </c>
    </row>
    <row r="6" spans="1:6" x14ac:dyDescent="0.35">
      <c r="A6" s="10" t="s">
        <v>82</v>
      </c>
      <c r="B6" s="9" t="s">
        <v>56</v>
      </c>
      <c r="C6" s="10">
        <f>Sheet1!B188</f>
        <v>568</v>
      </c>
      <c r="D6" s="10">
        <f>Sheet1!D188</f>
        <v>450</v>
      </c>
      <c r="E6" s="10">
        <f>Sheet1!E188</f>
        <v>118</v>
      </c>
      <c r="F6" s="26">
        <f t="shared" si="0"/>
        <v>0.79225352112676062</v>
      </c>
    </row>
    <row r="7" spans="1:6" x14ac:dyDescent="0.35">
      <c r="A7" s="10" t="s">
        <v>83</v>
      </c>
      <c r="B7" s="9" t="s">
        <v>67</v>
      </c>
      <c r="C7" s="10">
        <f>Sheet1!B209</f>
        <v>400</v>
      </c>
      <c r="D7" s="10">
        <f>Sheet1!D209</f>
        <v>358</v>
      </c>
      <c r="E7" s="10">
        <f>Sheet1!E209</f>
        <v>42</v>
      </c>
      <c r="F7" s="26">
        <f t="shared" si="0"/>
        <v>0.89500000000000002</v>
      </c>
    </row>
    <row r="8" spans="1:6" x14ac:dyDescent="0.35">
      <c r="A8" s="10" t="s">
        <v>84</v>
      </c>
      <c r="B8" s="9" t="s">
        <v>49</v>
      </c>
      <c r="C8" s="10">
        <f>Sheet1!B230</f>
        <v>403</v>
      </c>
      <c r="D8" s="10">
        <f>Sheet1!D230</f>
        <v>275</v>
      </c>
      <c r="E8" s="10">
        <f>Sheet1!E230</f>
        <v>128</v>
      </c>
      <c r="F8" s="26">
        <f t="shared" si="0"/>
        <v>0.68238213399503722</v>
      </c>
    </row>
    <row r="9" spans="1:6" x14ac:dyDescent="0.35">
      <c r="A9" s="10" t="s">
        <v>85</v>
      </c>
      <c r="B9" s="9" t="s">
        <v>46</v>
      </c>
      <c r="C9" s="10">
        <f>Sheet1!B252</f>
        <v>239</v>
      </c>
      <c r="D9" s="10">
        <f>Sheet1!D252</f>
        <v>98</v>
      </c>
      <c r="E9" s="10">
        <f>Sheet1!E252</f>
        <v>141</v>
      </c>
      <c r="F9" s="26">
        <f t="shared" si="0"/>
        <v>0.41004184100418412</v>
      </c>
    </row>
    <row r="10" spans="1:6" x14ac:dyDescent="0.35">
      <c r="A10" s="10" t="s">
        <v>86</v>
      </c>
      <c r="B10" s="9" t="s">
        <v>87</v>
      </c>
      <c r="C10" s="10">
        <f>Sheet1!B286</f>
        <v>399</v>
      </c>
      <c r="D10" s="10">
        <f>Sheet1!D286</f>
        <v>171</v>
      </c>
      <c r="E10" s="10">
        <f>Sheet1!E286</f>
        <v>228</v>
      </c>
      <c r="F10" s="26">
        <f t="shared" si="0"/>
        <v>0.42857142857142855</v>
      </c>
    </row>
    <row r="11" spans="1:6" x14ac:dyDescent="0.35">
      <c r="A11" s="64" t="s">
        <v>88</v>
      </c>
      <c r="B11" s="64"/>
      <c r="C11" s="8">
        <f>SUM(C2:C10)</f>
        <v>4468</v>
      </c>
      <c r="D11" s="8">
        <f>SUM(D2:D10)</f>
        <v>2674</v>
      </c>
      <c r="E11" s="8">
        <f>SUM(E2:E10)</f>
        <v>1794</v>
      </c>
      <c r="F11" s="30">
        <f>D11/C11</f>
        <v>0.59847806624888089</v>
      </c>
    </row>
    <row r="15" spans="1:6" s="29" customFormat="1" ht="48.75" customHeight="1" x14ac:dyDescent="0.35">
      <c r="A15" s="31" t="s">
        <v>0</v>
      </c>
      <c r="B15" s="27" t="s">
        <v>74</v>
      </c>
      <c r="C15" s="28" t="s">
        <v>327</v>
      </c>
      <c r="D15" s="28" t="s">
        <v>89</v>
      </c>
      <c r="E15" s="28" t="s">
        <v>90</v>
      </c>
      <c r="F15" s="28" t="s">
        <v>366</v>
      </c>
    </row>
    <row r="16" spans="1:6" x14ac:dyDescent="0.35">
      <c r="A16" s="21" t="s">
        <v>76</v>
      </c>
      <c r="B16" s="22" t="s">
        <v>45</v>
      </c>
      <c r="C16" s="21">
        <v>710</v>
      </c>
      <c r="D16" s="21">
        <v>266</v>
      </c>
      <c r="E16" s="21">
        <f>C16-D16</f>
        <v>444</v>
      </c>
      <c r="F16" s="26">
        <f>D16/C16</f>
        <v>0.37464788732394366</v>
      </c>
    </row>
    <row r="17" spans="1:6" x14ac:dyDescent="0.35">
      <c r="A17" s="21" t="s">
        <v>77</v>
      </c>
      <c r="B17" s="22" t="s">
        <v>78</v>
      </c>
      <c r="C17" s="21">
        <v>319</v>
      </c>
      <c r="D17" s="21">
        <v>210</v>
      </c>
      <c r="E17" s="21">
        <f t="shared" ref="E17:E24" si="1">C17-D17</f>
        <v>109</v>
      </c>
      <c r="F17" s="26">
        <f t="shared" ref="F17:F24" si="2">D17/C17</f>
        <v>0.65830721003134796</v>
      </c>
    </row>
    <row r="18" spans="1:6" x14ac:dyDescent="0.35">
      <c r="A18" s="21" t="s">
        <v>79</v>
      </c>
      <c r="B18" s="22" t="s">
        <v>20</v>
      </c>
      <c r="C18" s="21">
        <v>529</v>
      </c>
      <c r="D18" s="21">
        <v>475</v>
      </c>
      <c r="E18" s="21">
        <f t="shared" si="1"/>
        <v>54</v>
      </c>
      <c r="F18" s="26">
        <f t="shared" si="2"/>
        <v>0.89792060491493386</v>
      </c>
    </row>
    <row r="19" spans="1:6" x14ac:dyDescent="0.35">
      <c r="A19" s="21" t="s">
        <v>80</v>
      </c>
      <c r="B19" s="22" t="s">
        <v>81</v>
      </c>
      <c r="C19" s="21">
        <v>901</v>
      </c>
      <c r="D19" s="21">
        <v>253</v>
      </c>
      <c r="E19" s="21">
        <f>C19-D19</f>
        <v>648</v>
      </c>
      <c r="F19" s="26">
        <f t="shared" si="2"/>
        <v>0.28079911209766928</v>
      </c>
    </row>
    <row r="20" spans="1:6" x14ac:dyDescent="0.35">
      <c r="A20" s="21" t="s">
        <v>82</v>
      </c>
      <c r="B20" s="22" t="s">
        <v>56</v>
      </c>
      <c r="C20" s="21">
        <v>568</v>
      </c>
      <c r="D20" s="21">
        <v>302</v>
      </c>
      <c r="E20" s="21">
        <f t="shared" si="1"/>
        <v>266</v>
      </c>
      <c r="F20" s="26">
        <f t="shared" si="2"/>
        <v>0.53169014084507038</v>
      </c>
    </row>
    <row r="21" spans="1:6" x14ac:dyDescent="0.35">
      <c r="A21" s="21" t="s">
        <v>83</v>
      </c>
      <c r="B21" s="22" t="s">
        <v>67</v>
      </c>
      <c r="C21" s="21">
        <v>400</v>
      </c>
      <c r="D21" s="21">
        <v>327</v>
      </c>
      <c r="E21" s="21">
        <f t="shared" si="1"/>
        <v>73</v>
      </c>
      <c r="F21" s="26">
        <f t="shared" si="2"/>
        <v>0.8175</v>
      </c>
    </row>
    <row r="22" spans="1:6" x14ac:dyDescent="0.35">
      <c r="A22" s="21" t="s">
        <v>84</v>
      </c>
      <c r="B22" s="22" t="s">
        <v>49</v>
      </c>
      <c r="C22" s="21">
        <v>403</v>
      </c>
      <c r="D22" s="21">
        <v>222</v>
      </c>
      <c r="E22" s="21">
        <f t="shared" si="1"/>
        <v>181</v>
      </c>
      <c r="F22" s="26">
        <f t="shared" si="2"/>
        <v>0.5508684863523573</v>
      </c>
    </row>
    <row r="23" spans="1:6" x14ac:dyDescent="0.35">
      <c r="A23" s="21" t="s">
        <v>85</v>
      </c>
      <c r="B23" s="22" t="s">
        <v>46</v>
      </c>
      <c r="C23" s="21">
        <v>239</v>
      </c>
      <c r="D23" s="21">
        <v>72</v>
      </c>
      <c r="E23" s="21">
        <f t="shared" si="1"/>
        <v>167</v>
      </c>
      <c r="F23" s="26">
        <f t="shared" si="2"/>
        <v>0.30125523012552302</v>
      </c>
    </row>
    <row r="24" spans="1:6" x14ac:dyDescent="0.35">
      <c r="A24" s="21" t="s">
        <v>86</v>
      </c>
      <c r="B24" s="22" t="s">
        <v>87</v>
      </c>
      <c r="C24" s="21">
        <v>399</v>
      </c>
      <c r="D24" s="21">
        <v>152</v>
      </c>
      <c r="E24" s="21">
        <f t="shared" si="1"/>
        <v>247</v>
      </c>
      <c r="F24" s="26">
        <f t="shared" si="2"/>
        <v>0.38095238095238093</v>
      </c>
    </row>
    <row r="25" spans="1:6" x14ac:dyDescent="0.35">
      <c r="A25" s="65" t="s">
        <v>88</v>
      </c>
      <c r="B25" s="66"/>
      <c r="C25" s="23">
        <f>SUM(C16:C24)</f>
        <v>4468</v>
      </c>
      <c r="D25" s="23">
        <f>SUM(D16:D24)</f>
        <v>2279</v>
      </c>
      <c r="E25" s="23">
        <f>SUM(E16:E24)</f>
        <v>2189</v>
      </c>
      <c r="F25" s="30">
        <f>D25/C25</f>
        <v>0.51007162041181742</v>
      </c>
    </row>
  </sheetData>
  <mergeCells count="2">
    <mergeCell ref="A11:B11"/>
    <mergeCell ref="A25:B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6BDB9-C515-4FE7-8F2B-9C637D2784D3}">
  <dimension ref="A1:G287"/>
  <sheetViews>
    <sheetView tabSelected="1" topLeftCell="A270" zoomScaleNormal="100" workbookViewId="0">
      <selection activeCell="D266" sqref="D266"/>
    </sheetView>
  </sheetViews>
  <sheetFormatPr defaultRowHeight="14.5" x14ac:dyDescent="0.35"/>
  <cols>
    <col min="1" max="1" width="31.6328125" customWidth="1"/>
    <col min="2" max="2" width="16.54296875" style="11" customWidth="1"/>
    <col min="3" max="3" width="3" style="11" hidden="1" customWidth="1"/>
    <col min="4" max="4" width="21.1796875" style="11" customWidth="1"/>
    <col min="5" max="5" width="19.54296875" style="11" customWidth="1"/>
    <col min="6" max="6" width="14.7265625" style="25" customWidth="1"/>
    <col min="7" max="7" width="22.26953125" style="25" customWidth="1"/>
  </cols>
  <sheetData>
    <row r="1" spans="1:7" s="29" customFormat="1" ht="46" x14ac:dyDescent="0.35">
      <c r="A1" s="52" t="s">
        <v>97</v>
      </c>
      <c r="B1" s="53" t="s">
        <v>75</v>
      </c>
      <c r="C1" s="53"/>
      <c r="D1" s="54" t="s">
        <v>89</v>
      </c>
      <c r="E1" s="54" t="s">
        <v>90</v>
      </c>
      <c r="F1" s="28" t="s">
        <v>405</v>
      </c>
      <c r="G1" s="28" t="s">
        <v>406</v>
      </c>
    </row>
    <row r="2" spans="1:7" x14ac:dyDescent="0.35">
      <c r="A2" s="1" t="s">
        <v>99</v>
      </c>
      <c r="B2" s="4">
        <v>8</v>
      </c>
      <c r="C2" s="4"/>
      <c r="D2" s="4">
        <v>8</v>
      </c>
      <c r="E2" s="12">
        <f>B2-D2</f>
        <v>0</v>
      </c>
      <c r="F2" s="26">
        <f>D2/B2</f>
        <v>1</v>
      </c>
      <c r="G2" s="55"/>
    </row>
    <row r="3" spans="1:7" x14ac:dyDescent="0.35">
      <c r="A3" s="1" t="s">
        <v>100</v>
      </c>
      <c r="B3" s="4">
        <v>17</v>
      </c>
      <c r="C3" s="4"/>
      <c r="D3" s="4">
        <v>16</v>
      </c>
      <c r="E3" s="12">
        <f>B3-D3</f>
        <v>1</v>
      </c>
      <c r="F3" s="26">
        <f t="shared" ref="F3:F66" si="0">D3/B3</f>
        <v>0.94117647058823528</v>
      </c>
      <c r="G3" s="55"/>
    </row>
    <row r="4" spans="1:7" x14ac:dyDescent="0.35">
      <c r="A4" s="1" t="s">
        <v>101</v>
      </c>
      <c r="B4" s="4">
        <v>13</v>
      </c>
      <c r="C4" s="4"/>
      <c r="D4" s="4">
        <v>11</v>
      </c>
      <c r="E4" s="12">
        <f>B4-D4</f>
        <v>2</v>
      </c>
      <c r="F4" s="26">
        <f t="shared" si="0"/>
        <v>0.84615384615384615</v>
      </c>
      <c r="G4" s="55"/>
    </row>
    <row r="5" spans="1:7" x14ac:dyDescent="0.35">
      <c r="A5" s="1" t="s">
        <v>102</v>
      </c>
      <c r="B5" s="4">
        <v>12</v>
      </c>
      <c r="C5" s="4"/>
      <c r="D5" s="4">
        <v>12</v>
      </c>
      <c r="E5" s="12">
        <f>B5-D5</f>
        <v>0</v>
      </c>
      <c r="F5" s="26">
        <f t="shared" si="0"/>
        <v>1</v>
      </c>
      <c r="G5" s="55"/>
    </row>
    <row r="6" spans="1:7" x14ac:dyDescent="0.35">
      <c r="A6" s="13" t="s">
        <v>88</v>
      </c>
      <c r="B6" s="14">
        <f>SUM(B2:B5)</f>
        <v>50</v>
      </c>
      <c r="C6" s="14"/>
      <c r="D6" s="14">
        <f>SUM(D2:D5)</f>
        <v>47</v>
      </c>
      <c r="E6" s="14">
        <f>SUM(E2:E5)</f>
        <v>3</v>
      </c>
      <c r="F6" s="30">
        <f t="shared" si="0"/>
        <v>0.94</v>
      </c>
      <c r="G6" s="55"/>
    </row>
    <row r="7" spans="1:7" x14ac:dyDescent="0.35">
      <c r="A7" s="1" t="s">
        <v>103</v>
      </c>
      <c r="B7" s="3" t="s">
        <v>104</v>
      </c>
      <c r="C7" s="3">
        <v>18</v>
      </c>
      <c r="D7" s="4">
        <v>2</v>
      </c>
      <c r="E7" s="12">
        <f>C7-D7</f>
        <v>16</v>
      </c>
      <c r="F7" s="26">
        <f>D7/C7</f>
        <v>0.1111111111111111</v>
      </c>
      <c r="G7" s="55"/>
    </row>
    <row r="8" spans="1:7" x14ac:dyDescent="0.35">
      <c r="A8" s="1" t="s">
        <v>105</v>
      </c>
      <c r="B8" s="3" t="s">
        <v>106</v>
      </c>
      <c r="C8" s="3">
        <v>21</v>
      </c>
      <c r="D8" s="4">
        <v>2</v>
      </c>
      <c r="E8" s="12">
        <f>C8-D8</f>
        <v>19</v>
      </c>
      <c r="F8" s="26">
        <f>D8/C8</f>
        <v>9.5238095238095233E-2</v>
      </c>
      <c r="G8" s="55"/>
    </row>
    <row r="9" spans="1:7" x14ac:dyDescent="0.35">
      <c r="A9" s="1" t="s">
        <v>107</v>
      </c>
      <c r="B9" s="3">
        <v>14</v>
      </c>
      <c r="C9" s="3"/>
      <c r="D9" s="4">
        <v>4</v>
      </c>
      <c r="E9" s="12">
        <f>B9-D9</f>
        <v>10</v>
      </c>
      <c r="F9" s="26">
        <f t="shared" si="0"/>
        <v>0.2857142857142857</v>
      </c>
      <c r="G9" s="55"/>
    </row>
    <row r="10" spans="1:7" x14ac:dyDescent="0.35">
      <c r="A10" s="1" t="s">
        <v>108</v>
      </c>
      <c r="B10" s="3">
        <v>10</v>
      </c>
      <c r="C10" s="3"/>
      <c r="D10" s="4">
        <v>1</v>
      </c>
      <c r="E10" s="12">
        <f>B10-D10</f>
        <v>9</v>
      </c>
      <c r="F10" s="26">
        <f t="shared" si="0"/>
        <v>0.1</v>
      </c>
      <c r="G10" s="55"/>
    </row>
    <row r="11" spans="1:7" x14ac:dyDescent="0.35">
      <c r="A11" s="1" t="s">
        <v>109</v>
      </c>
      <c r="B11" s="3">
        <v>8</v>
      </c>
      <c r="C11" s="3"/>
      <c r="D11" s="4">
        <v>2</v>
      </c>
      <c r="E11" s="12">
        <f>B11-D11</f>
        <v>6</v>
      </c>
      <c r="F11" s="26">
        <f t="shared" si="0"/>
        <v>0.25</v>
      </c>
      <c r="G11" s="55"/>
    </row>
    <row r="12" spans="1:7" x14ac:dyDescent="0.35">
      <c r="A12" s="13" t="s">
        <v>88</v>
      </c>
      <c r="B12" s="6">
        <f>14+10+8+18+21</f>
        <v>71</v>
      </c>
      <c r="C12" s="6"/>
      <c r="D12" s="6">
        <f>SUM(D7:D11)</f>
        <v>11</v>
      </c>
      <c r="E12" s="6">
        <f>SUM(E7:E11)</f>
        <v>60</v>
      </c>
      <c r="F12" s="30">
        <f t="shared" si="0"/>
        <v>0.15492957746478872</v>
      </c>
      <c r="G12" s="55"/>
    </row>
    <row r="13" spans="1:7" x14ac:dyDescent="0.35">
      <c r="A13" s="1" t="s">
        <v>110</v>
      </c>
      <c r="B13" s="3" t="s">
        <v>111</v>
      </c>
      <c r="C13" s="3">
        <v>22</v>
      </c>
      <c r="D13" s="4">
        <v>9</v>
      </c>
      <c r="E13" s="12">
        <f>C13-D13</f>
        <v>13</v>
      </c>
      <c r="F13" s="26">
        <f>D13/C13</f>
        <v>0.40909090909090912</v>
      </c>
      <c r="G13" s="55"/>
    </row>
    <row r="14" spans="1:7" x14ac:dyDescent="0.35">
      <c r="A14" s="1" t="s">
        <v>112</v>
      </c>
      <c r="B14" s="3">
        <v>32</v>
      </c>
      <c r="C14" s="3"/>
      <c r="D14" s="4">
        <v>8</v>
      </c>
      <c r="E14" s="12">
        <f>B14-D14</f>
        <v>24</v>
      </c>
      <c r="F14" s="26">
        <f t="shared" si="0"/>
        <v>0.25</v>
      </c>
      <c r="G14" s="55"/>
    </row>
    <row r="15" spans="1:7" x14ac:dyDescent="0.35">
      <c r="A15" s="1" t="s">
        <v>113</v>
      </c>
      <c r="B15" s="3">
        <v>32</v>
      </c>
      <c r="C15" s="3"/>
      <c r="D15" s="4">
        <v>3</v>
      </c>
      <c r="E15" s="12">
        <f>B15-D15</f>
        <v>29</v>
      </c>
      <c r="F15" s="26">
        <f t="shared" si="0"/>
        <v>9.375E-2</v>
      </c>
      <c r="G15" s="55"/>
    </row>
    <row r="16" spans="1:7" x14ac:dyDescent="0.35">
      <c r="A16" s="1" t="s">
        <v>114</v>
      </c>
      <c r="B16" s="3">
        <v>12</v>
      </c>
      <c r="C16" s="3"/>
      <c r="D16" s="4">
        <v>3</v>
      </c>
      <c r="E16" s="12">
        <f>B16-D16</f>
        <v>9</v>
      </c>
      <c r="F16" s="26">
        <f t="shared" si="0"/>
        <v>0.25</v>
      </c>
      <c r="G16" s="55"/>
    </row>
    <row r="17" spans="1:7" x14ac:dyDescent="0.35">
      <c r="A17" s="1" t="s">
        <v>115</v>
      </c>
      <c r="B17" s="3">
        <v>23</v>
      </c>
      <c r="C17" s="3"/>
      <c r="D17" s="4">
        <v>4</v>
      </c>
      <c r="E17" s="12">
        <f>B17-D17</f>
        <v>19</v>
      </c>
      <c r="F17" s="26">
        <f t="shared" si="0"/>
        <v>0.17391304347826086</v>
      </c>
      <c r="G17" s="55"/>
    </row>
    <row r="18" spans="1:7" x14ac:dyDescent="0.35">
      <c r="A18" s="13" t="s">
        <v>88</v>
      </c>
      <c r="B18" s="6">
        <f>22+32+32+12+23</f>
        <v>121</v>
      </c>
      <c r="C18" s="6"/>
      <c r="D18" s="6">
        <f>SUM(D13:D17)</f>
        <v>27</v>
      </c>
      <c r="E18" s="6">
        <f>SUM(E13:E17)</f>
        <v>94</v>
      </c>
      <c r="F18" s="30">
        <f t="shared" si="0"/>
        <v>0.2231404958677686</v>
      </c>
      <c r="G18" s="55"/>
    </row>
    <row r="19" spans="1:7" x14ac:dyDescent="0.35">
      <c r="A19" s="1" t="s">
        <v>116</v>
      </c>
      <c r="B19" s="3">
        <v>9</v>
      </c>
      <c r="C19" s="3"/>
      <c r="D19" s="4">
        <v>1</v>
      </c>
      <c r="E19" s="12">
        <f t="shared" ref="E19:E24" si="1">B19-D19</f>
        <v>8</v>
      </c>
      <c r="F19" s="26">
        <f t="shared" si="0"/>
        <v>0.1111111111111111</v>
      </c>
      <c r="G19" s="55"/>
    </row>
    <row r="20" spans="1:7" x14ac:dyDescent="0.35">
      <c r="A20" s="1" t="s">
        <v>117</v>
      </c>
      <c r="B20" s="3">
        <v>21</v>
      </c>
      <c r="C20" s="3"/>
      <c r="D20" s="4">
        <v>9</v>
      </c>
      <c r="E20" s="12">
        <f t="shared" si="1"/>
        <v>12</v>
      </c>
      <c r="F20" s="26">
        <f t="shared" si="0"/>
        <v>0.42857142857142855</v>
      </c>
      <c r="G20" s="55"/>
    </row>
    <row r="21" spans="1:7" x14ac:dyDescent="0.35">
      <c r="A21" s="1" t="s">
        <v>72</v>
      </c>
      <c r="B21" s="3">
        <v>17</v>
      </c>
      <c r="C21" s="3"/>
      <c r="D21" s="4">
        <v>2</v>
      </c>
      <c r="E21" s="12">
        <f t="shared" si="1"/>
        <v>15</v>
      </c>
      <c r="F21" s="26">
        <f t="shared" si="0"/>
        <v>0.11764705882352941</v>
      </c>
      <c r="G21" s="55"/>
    </row>
    <row r="22" spans="1:7" x14ac:dyDescent="0.35">
      <c r="A22" s="1" t="s">
        <v>118</v>
      </c>
      <c r="B22" s="3">
        <v>20</v>
      </c>
      <c r="C22" s="3"/>
      <c r="D22" s="4">
        <v>6</v>
      </c>
      <c r="E22" s="12">
        <f t="shared" si="1"/>
        <v>14</v>
      </c>
      <c r="F22" s="26">
        <f t="shared" si="0"/>
        <v>0.3</v>
      </c>
      <c r="G22" s="55"/>
    </row>
    <row r="23" spans="1:7" x14ac:dyDescent="0.35">
      <c r="A23" s="1" t="s">
        <v>119</v>
      </c>
      <c r="B23" s="3">
        <v>9</v>
      </c>
      <c r="C23" s="3"/>
      <c r="D23" s="4">
        <v>2</v>
      </c>
      <c r="E23" s="12">
        <f t="shared" si="1"/>
        <v>7</v>
      </c>
      <c r="F23" s="26">
        <f t="shared" si="0"/>
        <v>0.22222222222222221</v>
      </c>
      <c r="G23" s="55"/>
    </row>
    <row r="24" spans="1:7" x14ac:dyDescent="0.35">
      <c r="A24" s="1" t="s">
        <v>120</v>
      </c>
      <c r="B24" s="3">
        <v>34</v>
      </c>
      <c r="C24" s="3"/>
      <c r="D24" s="4">
        <v>11</v>
      </c>
      <c r="E24" s="12">
        <f t="shared" si="1"/>
        <v>23</v>
      </c>
      <c r="F24" s="26">
        <f t="shared" si="0"/>
        <v>0.3235294117647059</v>
      </c>
      <c r="G24" s="55"/>
    </row>
    <row r="25" spans="1:7" x14ac:dyDescent="0.35">
      <c r="A25" s="13" t="s">
        <v>88</v>
      </c>
      <c r="B25" s="6">
        <f>SUM(B19:B24)</f>
        <v>110</v>
      </c>
      <c r="C25" s="6"/>
      <c r="D25" s="6">
        <f>SUM(D19:D24)</f>
        <v>31</v>
      </c>
      <c r="E25" s="6">
        <f>SUM(E19:E24)</f>
        <v>79</v>
      </c>
      <c r="F25" s="30">
        <f t="shared" si="0"/>
        <v>0.2818181818181818</v>
      </c>
      <c r="G25" s="55"/>
    </row>
    <row r="26" spans="1:7" x14ac:dyDescent="0.35">
      <c r="A26" s="1" t="s">
        <v>121</v>
      </c>
      <c r="B26" s="3">
        <v>17</v>
      </c>
      <c r="C26" s="3"/>
      <c r="D26" s="4">
        <v>1</v>
      </c>
      <c r="E26" s="12">
        <f>B26-D26</f>
        <v>16</v>
      </c>
      <c r="F26" s="26">
        <f t="shared" si="0"/>
        <v>5.8823529411764705E-2</v>
      </c>
      <c r="G26" s="55"/>
    </row>
    <row r="27" spans="1:7" x14ac:dyDescent="0.35">
      <c r="A27" s="1" t="s">
        <v>122</v>
      </c>
      <c r="B27" s="3">
        <v>17</v>
      </c>
      <c r="C27" s="3"/>
      <c r="D27" s="4">
        <v>6</v>
      </c>
      <c r="E27" s="12">
        <f>B27-D27</f>
        <v>11</v>
      </c>
      <c r="F27" s="26">
        <f t="shared" si="0"/>
        <v>0.35294117647058826</v>
      </c>
      <c r="G27" s="55"/>
    </row>
    <row r="28" spans="1:7" x14ac:dyDescent="0.35">
      <c r="A28" s="1" t="s">
        <v>123</v>
      </c>
      <c r="B28" s="3">
        <v>11</v>
      </c>
      <c r="C28" s="3"/>
      <c r="D28" s="4">
        <v>4</v>
      </c>
      <c r="E28" s="12">
        <f>B28-D28</f>
        <v>7</v>
      </c>
      <c r="F28" s="26">
        <f t="shared" si="0"/>
        <v>0.36363636363636365</v>
      </c>
      <c r="G28" s="55"/>
    </row>
    <row r="29" spans="1:7" x14ac:dyDescent="0.35">
      <c r="A29" s="13" t="s">
        <v>88</v>
      </c>
      <c r="B29" s="6">
        <f>SUM(B26:B28)</f>
        <v>45</v>
      </c>
      <c r="C29" s="6"/>
      <c r="D29" s="6">
        <f>SUM(D26:D28)</f>
        <v>11</v>
      </c>
      <c r="E29" s="6">
        <f>SUM(E26:E28)</f>
        <v>34</v>
      </c>
      <c r="F29" s="30">
        <f t="shared" si="0"/>
        <v>0.24444444444444444</v>
      </c>
      <c r="G29" s="55"/>
    </row>
    <row r="30" spans="1:7" x14ac:dyDescent="0.35">
      <c r="A30" s="1" t="s">
        <v>124</v>
      </c>
      <c r="B30" s="3">
        <v>32</v>
      </c>
      <c r="C30" s="3"/>
      <c r="D30" s="4">
        <v>11</v>
      </c>
      <c r="E30" s="12">
        <f>B30-D30</f>
        <v>21</v>
      </c>
      <c r="F30" s="26">
        <f t="shared" si="0"/>
        <v>0.34375</v>
      </c>
      <c r="G30" s="55"/>
    </row>
    <row r="31" spans="1:7" x14ac:dyDescent="0.35">
      <c r="A31" s="1" t="s">
        <v>125</v>
      </c>
      <c r="B31" s="3">
        <v>20</v>
      </c>
      <c r="C31" s="3"/>
      <c r="D31" s="4">
        <v>9</v>
      </c>
      <c r="E31" s="12">
        <f>B31-D31</f>
        <v>11</v>
      </c>
      <c r="F31" s="26">
        <f t="shared" si="0"/>
        <v>0.45</v>
      </c>
      <c r="G31" s="55"/>
    </row>
    <row r="32" spans="1:7" x14ac:dyDescent="0.35">
      <c r="A32" s="1" t="s">
        <v>126</v>
      </c>
      <c r="B32" s="3">
        <v>26</v>
      </c>
      <c r="C32" s="3"/>
      <c r="D32" s="4">
        <v>16</v>
      </c>
      <c r="E32" s="12">
        <f>B32-D32</f>
        <v>10</v>
      </c>
      <c r="F32" s="26">
        <f t="shared" si="0"/>
        <v>0.61538461538461542</v>
      </c>
      <c r="G32" s="55"/>
    </row>
    <row r="33" spans="1:7" x14ac:dyDescent="0.35">
      <c r="A33" s="1" t="s">
        <v>127</v>
      </c>
      <c r="B33" s="3">
        <v>37</v>
      </c>
      <c r="C33" s="3"/>
      <c r="D33" s="4">
        <v>27</v>
      </c>
      <c r="E33" s="12">
        <f>B33-D33</f>
        <v>10</v>
      </c>
      <c r="F33" s="26">
        <f t="shared" si="0"/>
        <v>0.72972972972972971</v>
      </c>
      <c r="G33" s="55"/>
    </row>
    <row r="34" spans="1:7" x14ac:dyDescent="0.35">
      <c r="A34" s="1" t="s">
        <v>128</v>
      </c>
      <c r="B34" s="3">
        <v>32</v>
      </c>
      <c r="C34" s="3"/>
      <c r="D34" s="4">
        <v>20</v>
      </c>
      <c r="E34" s="12">
        <f>B34-D34</f>
        <v>12</v>
      </c>
      <c r="F34" s="26">
        <f t="shared" si="0"/>
        <v>0.625</v>
      </c>
      <c r="G34" s="55"/>
    </row>
    <row r="35" spans="1:7" x14ac:dyDescent="0.35">
      <c r="A35" s="13" t="s">
        <v>88</v>
      </c>
      <c r="B35" s="6">
        <f>SUM(B30:B34)</f>
        <v>147</v>
      </c>
      <c r="C35" s="6"/>
      <c r="D35" s="6">
        <f>SUM(D30:D34)</f>
        <v>83</v>
      </c>
      <c r="E35" s="6">
        <f>SUM(E30:E34)</f>
        <v>64</v>
      </c>
      <c r="F35" s="30">
        <f t="shared" si="0"/>
        <v>0.56462585034013602</v>
      </c>
      <c r="G35" s="55"/>
    </row>
    <row r="36" spans="1:7" x14ac:dyDescent="0.35">
      <c r="A36" s="1" t="s">
        <v>129</v>
      </c>
      <c r="B36" s="3">
        <v>27</v>
      </c>
      <c r="C36" s="3"/>
      <c r="D36" s="4">
        <v>9</v>
      </c>
      <c r="E36" s="12">
        <f>B36-D36</f>
        <v>18</v>
      </c>
      <c r="F36" s="26">
        <f t="shared" si="0"/>
        <v>0.33333333333333331</v>
      </c>
      <c r="G36" s="55"/>
    </row>
    <row r="37" spans="1:7" x14ac:dyDescent="0.35">
      <c r="A37" s="1" t="s">
        <v>130</v>
      </c>
      <c r="B37" s="3">
        <v>28</v>
      </c>
      <c r="C37" s="3"/>
      <c r="D37" s="4">
        <v>11</v>
      </c>
      <c r="E37" s="12">
        <f>B37-D37</f>
        <v>17</v>
      </c>
      <c r="F37" s="26">
        <f t="shared" si="0"/>
        <v>0.39285714285714285</v>
      </c>
      <c r="G37" s="55"/>
    </row>
    <row r="38" spans="1:7" x14ac:dyDescent="0.35">
      <c r="A38" s="1" t="s">
        <v>131</v>
      </c>
      <c r="B38" s="3">
        <v>32</v>
      </c>
      <c r="C38" s="3"/>
      <c r="D38" s="4">
        <v>6</v>
      </c>
      <c r="E38" s="12">
        <f>B38-D38</f>
        <v>26</v>
      </c>
      <c r="F38" s="26">
        <f t="shared" si="0"/>
        <v>0.1875</v>
      </c>
      <c r="G38" s="55"/>
    </row>
    <row r="39" spans="1:7" x14ac:dyDescent="0.35">
      <c r="A39" s="1" t="s">
        <v>132</v>
      </c>
      <c r="B39" s="3">
        <v>19</v>
      </c>
      <c r="C39" s="3"/>
      <c r="D39" s="4">
        <v>8</v>
      </c>
      <c r="E39" s="12">
        <f>B39-D39</f>
        <v>11</v>
      </c>
      <c r="F39" s="26">
        <f t="shared" si="0"/>
        <v>0.42105263157894735</v>
      </c>
      <c r="G39" s="55"/>
    </row>
    <row r="40" spans="1:7" x14ac:dyDescent="0.35">
      <c r="A40" s="13" t="s">
        <v>88</v>
      </c>
      <c r="B40" s="6">
        <f>SUM(B36:B39)</f>
        <v>106</v>
      </c>
      <c r="C40" s="6"/>
      <c r="D40" s="6">
        <f>SUM(D36:D39)</f>
        <v>34</v>
      </c>
      <c r="E40" s="6">
        <f>SUM(E36:E39)</f>
        <v>72</v>
      </c>
      <c r="F40" s="30">
        <f t="shared" si="0"/>
        <v>0.32075471698113206</v>
      </c>
      <c r="G40" s="55"/>
    </row>
    <row r="41" spans="1:7" x14ac:dyDescent="0.35">
      <c r="A41" s="1" t="s">
        <v>133</v>
      </c>
      <c r="B41" s="3">
        <v>9</v>
      </c>
      <c r="C41" s="3"/>
      <c r="D41" s="4">
        <v>9</v>
      </c>
      <c r="E41" s="12">
        <f t="shared" ref="E41:E46" si="2">B41-D41</f>
        <v>0</v>
      </c>
      <c r="F41" s="26">
        <f t="shared" si="0"/>
        <v>1</v>
      </c>
      <c r="G41" s="55"/>
    </row>
    <row r="42" spans="1:7" x14ac:dyDescent="0.35">
      <c r="A42" s="1" t="s">
        <v>134</v>
      </c>
      <c r="B42" s="3">
        <v>9</v>
      </c>
      <c r="C42" s="3"/>
      <c r="D42" s="4">
        <v>9</v>
      </c>
      <c r="E42" s="12">
        <f t="shared" si="2"/>
        <v>0</v>
      </c>
      <c r="F42" s="26">
        <f t="shared" si="0"/>
        <v>1</v>
      </c>
      <c r="G42" s="55"/>
    </row>
    <row r="43" spans="1:7" x14ac:dyDescent="0.35">
      <c r="A43" s="1" t="s">
        <v>135</v>
      </c>
      <c r="B43" s="3">
        <v>10</v>
      </c>
      <c r="C43" s="3"/>
      <c r="D43" s="4">
        <v>9</v>
      </c>
      <c r="E43" s="12">
        <f t="shared" si="2"/>
        <v>1</v>
      </c>
      <c r="F43" s="26">
        <f t="shared" si="0"/>
        <v>0.9</v>
      </c>
      <c r="G43" s="55"/>
    </row>
    <row r="44" spans="1:7" x14ac:dyDescent="0.35">
      <c r="A44" s="1" t="s">
        <v>136</v>
      </c>
      <c r="B44" s="3">
        <v>11</v>
      </c>
      <c r="C44" s="3"/>
      <c r="D44" s="4">
        <v>11</v>
      </c>
      <c r="E44" s="12">
        <f t="shared" si="2"/>
        <v>0</v>
      </c>
      <c r="F44" s="26">
        <f t="shared" si="0"/>
        <v>1</v>
      </c>
      <c r="G44" s="55"/>
    </row>
    <row r="45" spans="1:7" x14ac:dyDescent="0.35">
      <c r="A45" s="1" t="s">
        <v>137</v>
      </c>
      <c r="B45" s="3">
        <v>11</v>
      </c>
      <c r="C45" s="3"/>
      <c r="D45" s="4">
        <v>8</v>
      </c>
      <c r="E45" s="12">
        <f t="shared" si="2"/>
        <v>3</v>
      </c>
      <c r="F45" s="26">
        <f t="shared" si="0"/>
        <v>0.72727272727272729</v>
      </c>
      <c r="G45" s="55"/>
    </row>
    <row r="46" spans="1:7" x14ac:dyDescent="0.35">
      <c r="A46" s="1" t="s">
        <v>138</v>
      </c>
      <c r="B46" s="3">
        <v>10</v>
      </c>
      <c r="C46" s="3"/>
      <c r="D46" s="4">
        <v>7</v>
      </c>
      <c r="E46" s="12">
        <f t="shared" si="2"/>
        <v>3</v>
      </c>
      <c r="F46" s="26">
        <f t="shared" si="0"/>
        <v>0.7</v>
      </c>
      <c r="G46" s="55"/>
    </row>
    <row r="47" spans="1:7" x14ac:dyDescent="0.35">
      <c r="A47" s="13" t="s">
        <v>88</v>
      </c>
      <c r="B47" s="6">
        <f>SUM(B41:B46)</f>
        <v>60</v>
      </c>
      <c r="C47" s="6"/>
      <c r="D47" s="6">
        <f>SUM(D41:D46)</f>
        <v>53</v>
      </c>
      <c r="E47" s="6">
        <f>SUM(E41:E46)</f>
        <v>7</v>
      </c>
      <c r="F47" s="30">
        <f t="shared" si="0"/>
        <v>0.8833333333333333</v>
      </c>
      <c r="G47" s="55"/>
    </row>
    <row r="48" spans="1:7" x14ac:dyDescent="0.35">
      <c r="A48" s="5" t="s">
        <v>98</v>
      </c>
      <c r="B48" s="6">
        <f>SUM(B6,B12,B18,B25,B29,B35,B40,B47)</f>
        <v>710</v>
      </c>
      <c r="C48" s="6"/>
      <c r="D48" s="6">
        <f>SUM(D6,D12,D18,D25,D29,D35,D40,D47)</f>
        <v>297</v>
      </c>
      <c r="E48" s="6">
        <f>SUM(E6,E12,E18,E25,E29,E35,E40,E47)</f>
        <v>413</v>
      </c>
      <c r="F48" s="30">
        <f t="shared" si="0"/>
        <v>0.41830985915492958</v>
      </c>
      <c r="G48" s="55"/>
    </row>
    <row r="49" spans="1:7" x14ac:dyDescent="0.35">
      <c r="A49" s="1" t="s">
        <v>140</v>
      </c>
      <c r="B49" s="3" t="s">
        <v>141</v>
      </c>
      <c r="C49" s="3">
        <v>14</v>
      </c>
      <c r="D49" s="4">
        <v>11</v>
      </c>
      <c r="E49" s="12">
        <f>C49-D49</f>
        <v>3</v>
      </c>
      <c r="F49" s="26">
        <f>D49/C49</f>
        <v>0.7857142857142857</v>
      </c>
      <c r="G49" s="55"/>
    </row>
    <row r="50" spans="1:7" x14ac:dyDescent="0.35">
      <c r="A50" s="1" t="s">
        <v>142</v>
      </c>
      <c r="B50" s="3">
        <v>9</v>
      </c>
      <c r="C50" s="3"/>
      <c r="D50" s="4">
        <v>6</v>
      </c>
      <c r="E50" s="12">
        <f>B50-D50</f>
        <v>3</v>
      </c>
      <c r="F50" s="26">
        <f t="shared" si="0"/>
        <v>0.66666666666666663</v>
      </c>
      <c r="G50" s="55"/>
    </row>
    <row r="51" spans="1:7" x14ac:dyDescent="0.35">
      <c r="A51" s="13" t="s">
        <v>88</v>
      </c>
      <c r="B51" s="6">
        <f>14+9</f>
        <v>23</v>
      </c>
      <c r="C51" s="6"/>
      <c r="D51" s="6">
        <f>SUM(D49:D50)</f>
        <v>17</v>
      </c>
      <c r="E51" s="6">
        <f>SUM(E49:E50)</f>
        <v>6</v>
      </c>
      <c r="F51" s="30">
        <f t="shared" si="0"/>
        <v>0.73913043478260865</v>
      </c>
      <c r="G51" s="55"/>
    </row>
    <row r="52" spans="1:7" x14ac:dyDescent="0.35">
      <c r="A52" s="1" t="s">
        <v>143</v>
      </c>
      <c r="B52" s="3">
        <v>12</v>
      </c>
      <c r="C52" s="3"/>
      <c r="D52" s="4">
        <v>9</v>
      </c>
      <c r="E52" s="12">
        <f>B52-D52</f>
        <v>3</v>
      </c>
      <c r="F52" s="26">
        <f t="shared" si="0"/>
        <v>0.75</v>
      </c>
      <c r="G52" s="55"/>
    </row>
    <row r="53" spans="1:7" x14ac:dyDescent="0.35">
      <c r="A53" s="1" t="s">
        <v>144</v>
      </c>
      <c r="B53" s="3">
        <v>36</v>
      </c>
      <c r="C53" s="3"/>
      <c r="D53" s="4">
        <v>26</v>
      </c>
      <c r="E53" s="12">
        <f t="shared" ref="E53:E69" si="3">B53-D53</f>
        <v>10</v>
      </c>
      <c r="F53" s="26">
        <f t="shared" si="0"/>
        <v>0.72222222222222221</v>
      </c>
      <c r="G53" s="55"/>
    </row>
    <row r="54" spans="1:7" x14ac:dyDescent="0.35">
      <c r="A54" s="1" t="s">
        <v>145</v>
      </c>
      <c r="B54" s="3" t="s">
        <v>146</v>
      </c>
      <c r="C54" s="3">
        <v>16</v>
      </c>
      <c r="D54" s="4">
        <v>11</v>
      </c>
      <c r="E54" s="12">
        <f>C54-D54</f>
        <v>5</v>
      </c>
      <c r="F54" s="26">
        <f>D54/C54</f>
        <v>0.6875</v>
      </c>
      <c r="G54" s="55"/>
    </row>
    <row r="55" spans="1:7" x14ac:dyDescent="0.35">
      <c r="A55" s="1" t="s">
        <v>147</v>
      </c>
      <c r="B55" s="3">
        <v>10</v>
      </c>
      <c r="C55" s="3"/>
      <c r="D55" s="4">
        <v>9</v>
      </c>
      <c r="E55" s="12">
        <f t="shared" si="3"/>
        <v>1</v>
      </c>
      <c r="F55" s="26">
        <f t="shared" si="0"/>
        <v>0.9</v>
      </c>
      <c r="G55" s="55"/>
    </row>
    <row r="56" spans="1:7" x14ac:dyDescent="0.35">
      <c r="A56" s="13" t="s">
        <v>88</v>
      </c>
      <c r="B56" s="6">
        <f>12+36+16+10</f>
        <v>74</v>
      </c>
      <c r="C56" s="6"/>
      <c r="D56" s="6">
        <f>SUM(D52:D55)</f>
        <v>55</v>
      </c>
      <c r="E56" s="6">
        <f>SUM(E52:E55)</f>
        <v>19</v>
      </c>
      <c r="F56" s="30">
        <f t="shared" si="0"/>
        <v>0.7432432432432432</v>
      </c>
      <c r="G56" s="55"/>
    </row>
    <row r="57" spans="1:7" x14ac:dyDescent="0.35">
      <c r="A57" s="1" t="s">
        <v>148</v>
      </c>
      <c r="B57" s="3">
        <v>9</v>
      </c>
      <c r="C57" s="3"/>
      <c r="D57" s="4">
        <v>7</v>
      </c>
      <c r="E57" s="12">
        <f t="shared" si="3"/>
        <v>2</v>
      </c>
      <c r="F57" s="26">
        <f t="shared" si="0"/>
        <v>0.77777777777777779</v>
      </c>
      <c r="G57" s="55"/>
    </row>
    <row r="58" spans="1:7" x14ac:dyDescent="0.35">
      <c r="A58" s="1" t="s">
        <v>149</v>
      </c>
      <c r="B58" s="3">
        <v>17</v>
      </c>
      <c r="C58" s="3"/>
      <c r="D58" s="4">
        <v>8</v>
      </c>
      <c r="E58" s="12">
        <f t="shared" si="3"/>
        <v>9</v>
      </c>
      <c r="F58" s="26">
        <f t="shared" si="0"/>
        <v>0.47058823529411764</v>
      </c>
      <c r="G58" s="55"/>
    </row>
    <row r="59" spans="1:7" x14ac:dyDescent="0.35">
      <c r="A59" s="1" t="s">
        <v>150</v>
      </c>
      <c r="B59" s="3">
        <v>8</v>
      </c>
      <c r="C59" s="3"/>
      <c r="D59" s="4">
        <v>7</v>
      </c>
      <c r="E59" s="12">
        <f t="shared" si="3"/>
        <v>1</v>
      </c>
      <c r="F59" s="26">
        <v>0.9</v>
      </c>
      <c r="G59" s="55"/>
    </row>
    <row r="60" spans="1:7" x14ac:dyDescent="0.35">
      <c r="A60" s="1" t="s">
        <v>151</v>
      </c>
      <c r="B60" s="3">
        <v>35</v>
      </c>
      <c r="C60" s="3"/>
      <c r="D60" s="4">
        <v>30</v>
      </c>
      <c r="E60" s="12">
        <f t="shared" si="3"/>
        <v>5</v>
      </c>
      <c r="F60" s="26">
        <f t="shared" si="0"/>
        <v>0.8571428571428571</v>
      </c>
      <c r="G60" s="55"/>
    </row>
    <row r="61" spans="1:7" x14ac:dyDescent="0.35">
      <c r="A61" s="1" t="s">
        <v>152</v>
      </c>
      <c r="B61" s="3">
        <v>9</v>
      </c>
      <c r="C61" s="3"/>
      <c r="D61" s="4">
        <v>7</v>
      </c>
      <c r="E61" s="12">
        <f t="shared" si="3"/>
        <v>2</v>
      </c>
      <c r="F61" s="26">
        <f t="shared" si="0"/>
        <v>0.77777777777777779</v>
      </c>
      <c r="G61" s="55"/>
    </row>
    <row r="62" spans="1:7" x14ac:dyDescent="0.35">
      <c r="A62" s="1" t="s">
        <v>153</v>
      </c>
      <c r="B62" s="3">
        <v>20</v>
      </c>
      <c r="C62" s="3"/>
      <c r="D62" s="4">
        <v>15</v>
      </c>
      <c r="E62" s="12">
        <f t="shared" si="3"/>
        <v>5</v>
      </c>
      <c r="F62" s="26">
        <f t="shared" si="0"/>
        <v>0.75</v>
      </c>
      <c r="G62" s="55"/>
    </row>
    <row r="63" spans="1:7" x14ac:dyDescent="0.35">
      <c r="A63" s="13" t="s">
        <v>88</v>
      </c>
      <c r="B63" s="6">
        <f>SUM(B57:B62)</f>
        <v>98</v>
      </c>
      <c r="C63" s="6"/>
      <c r="D63" s="6">
        <f>SUM(D57:D62)</f>
        <v>74</v>
      </c>
      <c r="E63" s="6">
        <f>SUM(E57:E62)</f>
        <v>24</v>
      </c>
      <c r="F63" s="30">
        <f t="shared" si="0"/>
        <v>0.75510204081632648</v>
      </c>
      <c r="G63" s="55"/>
    </row>
    <row r="64" spans="1:7" x14ac:dyDescent="0.35">
      <c r="A64" s="1" t="s">
        <v>154</v>
      </c>
      <c r="B64" s="3">
        <v>22</v>
      </c>
      <c r="C64" s="3"/>
      <c r="D64" s="4">
        <v>17</v>
      </c>
      <c r="E64" s="12">
        <f t="shared" si="3"/>
        <v>5</v>
      </c>
      <c r="F64" s="26">
        <f t="shared" si="0"/>
        <v>0.77272727272727271</v>
      </c>
      <c r="G64" s="55"/>
    </row>
    <row r="65" spans="1:7" x14ac:dyDescent="0.35">
      <c r="A65" s="1" t="s">
        <v>155</v>
      </c>
      <c r="B65" s="3">
        <v>9</v>
      </c>
      <c r="C65" s="3"/>
      <c r="D65" s="4">
        <v>9</v>
      </c>
      <c r="E65" s="12">
        <f t="shared" si="3"/>
        <v>0</v>
      </c>
      <c r="F65" s="26">
        <f t="shared" si="0"/>
        <v>1</v>
      </c>
      <c r="G65" s="55"/>
    </row>
    <row r="66" spans="1:7" x14ac:dyDescent="0.35">
      <c r="A66" s="1" t="s">
        <v>156</v>
      </c>
      <c r="B66" s="3">
        <v>23</v>
      </c>
      <c r="C66" s="3"/>
      <c r="D66" s="4">
        <v>21</v>
      </c>
      <c r="E66" s="12">
        <f t="shared" si="3"/>
        <v>2</v>
      </c>
      <c r="F66" s="26">
        <f t="shared" si="0"/>
        <v>0.91304347826086951</v>
      </c>
      <c r="G66" s="55"/>
    </row>
    <row r="67" spans="1:7" x14ac:dyDescent="0.35">
      <c r="A67" s="1" t="s">
        <v>157</v>
      </c>
      <c r="B67" s="3">
        <v>19</v>
      </c>
      <c r="C67" s="3"/>
      <c r="D67" s="4">
        <v>15</v>
      </c>
      <c r="E67" s="12">
        <f t="shared" si="3"/>
        <v>4</v>
      </c>
      <c r="F67" s="26">
        <f t="shared" ref="F67:F130" si="4">D67/B67</f>
        <v>0.78947368421052633</v>
      </c>
      <c r="G67" s="55"/>
    </row>
    <row r="68" spans="1:7" x14ac:dyDescent="0.35">
      <c r="A68" s="13" t="s">
        <v>88</v>
      </c>
      <c r="B68" s="6">
        <f>SUM(B64:B67)</f>
        <v>73</v>
      </c>
      <c r="C68" s="6"/>
      <c r="D68" s="6">
        <f>SUM(D64:D67)</f>
        <v>62</v>
      </c>
      <c r="E68" s="6">
        <f>SUM(E64:E67)</f>
        <v>11</v>
      </c>
      <c r="F68" s="30">
        <f t="shared" si="4"/>
        <v>0.84931506849315064</v>
      </c>
      <c r="G68" s="55"/>
    </row>
    <row r="69" spans="1:7" x14ac:dyDescent="0.35">
      <c r="A69" s="2" t="s">
        <v>158</v>
      </c>
      <c r="B69" s="12">
        <v>32</v>
      </c>
      <c r="C69" s="12"/>
      <c r="D69" s="4">
        <v>24</v>
      </c>
      <c r="E69" s="12">
        <f t="shared" si="3"/>
        <v>8</v>
      </c>
      <c r="F69" s="26">
        <f t="shared" si="4"/>
        <v>0.75</v>
      </c>
      <c r="G69" s="55"/>
    </row>
    <row r="70" spans="1:7" x14ac:dyDescent="0.35">
      <c r="A70" s="1" t="s">
        <v>159</v>
      </c>
      <c r="B70" s="3" t="s">
        <v>160</v>
      </c>
      <c r="C70" s="3">
        <v>19</v>
      </c>
      <c r="D70" s="4">
        <v>19</v>
      </c>
      <c r="E70" s="12">
        <f>C70-D70</f>
        <v>0</v>
      </c>
      <c r="F70" s="26">
        <f>D70/C70</f>
        <v>1</v>
      </c>
      <c r="G70" s="55"/>
    </row>
    <row r="71" spans="1:7" x14ac:dyDescent="0.35">
      <c r="A71" s="13" t="s">
        <v>88</v>
      </c>
      <c r="B71" s="6">
        <f>32+19</f>
        <v>51</v>
      </c>
      <c r="C71" s="6"/>
      <c r="D71" s="6">
        <f>SUM(D69:D70)</f>
        <v>43</v>
      </c>
      <c r="E71" s="6">
        <f>SUM(E69:E70)</f>
        <v>8</v>
      </c>
      <c r="F71" s="30">
        <f t="shared" si="4"/>
        <v>0.84313725490196079</v>
      </c>
      <c r="G71" s="55"/>
    </row>
    <row r="72" spans="1:7" x14ac:dyDescent="0.35">
      <c r="A72" s="13" t="s">
        <v>139</v>
      </c>
      <c r="B72" s="6">
        <f>SUM(B51,B56,B63,B68,B71)</f>
        <v>319</v>
      </c>
      <c r="C72" s="6"/>
      <c r="D72" s="6">
        <f>SUM(D51,D56,D63,D68,D71)</f>
        <v>251</v>
      </c>
      <c r="E72" s="6">
        <f>SUM(E51,E56,E63,E68,E71)</f>
        <v>68</v>
      </c>
      <c r="F72" s="30">
        <f t="shared" si="4"/>
        <v>0.78683385579937304</v>
      </c>
      <c r="G72" s="55"/>
    </row>
    <row r="73" spans="1:7" x14ac:dyDescent="0.35">
      <c r="A73" s="1" t="s">
        <v>162</v>
      </c>
      <c r="B73" s="3">
        <v>15</v>
      </c>
      <c r="C73" s="3"/>
      <c r="D73" s="4">
        <v>10</v>
      </c>
      <c r="E73" s="12">
        <f t="shared" ref="E73:E98" si="5">B73-D73</f>
        <v>5</v>
      </c>
      <c r="F73" s="26">
        <f t="shared" si="4"/>
        <v>0.66666666666666663</v>
      </c>
      <c r="G73" s="55"/>
    </row>
    <row r="74" spans="1:7" x14ac:dyDescent="0.35">
      <c r="A74" s="1" t="s">
        <v>36</v>
      </c>
      <c r="B74" s="3">
        <v>45</v>
      </c>
      <c r="C74" s="3"/>
      <c r="D74" s="4">
        <v>44</v>
      </c>
      <c r="E74" s="12">
        <f t="shared" si="5"/>
        <v>1</v>
      </c>
      <c r="F74" s="26">
        <f t="shared" si="4"/>
        <v>0.97777777777777775</v>
      </c>
      <c r="G74" s="55"/>
    </row>
    <row r="75" spans="1:7" x14ac:dyDescent="0.35">
      <c r="A75" s="1" t="s">
        <v>163</v>
      </c>
      <c r="B75" s="3">
        <v>13</v>
      </c>
      <c r="C75" s="3"/>
      <c r="D75" s="4">
        <v>13</v>
      </c>
      <c r="E75" s="12">
        <f t="shared" si="5"/>
        <v>0</v>
      </c>
      <c r="F75" s="26">
        <f t="shared" si="4"/>
        <v>1</v>
      </c>
      <c r="G75" s="55"/>
    </row>
    <row r="76" spans="1:7" x14ac:dyDescent="0.35">
      <c r="A76" s="13" t="s">
        <v>88</v>
      </c>
      <c r="B76" s="6">
        <f>SUM(B73:B75)</f>
        <v>73</v>
      </c>
      <c r="C76" s="6"/>
      <c r="D76" s="6">
        <f>SUM(D73:D75)</f>
        <v>67</v>
      </c>
      <c r="E76" s="6">
        <f>SUM(E73:E75)</f>
        <v>6</v>
      </c>
      <c r="F76" s="30">
        <f t="shared" si="4"/>
        <v>0.9178082191780822</v>
      </c>
      <c r="G76" s="55"/>
    </row>
    <row r="77" spans="1:7" x14ac:dyDescent="0.35">
      <c r="A77" s="1" t="s">
        <v>164</v>
      </c>
      <c r="B77" s="3">
        <v>35</v>
      </c>
      <c r="C77" s="3"/>
      <c r="D77" s="4">
        <v>34</v>
      </c>
      <c r="E77" s="12">
        <f t="shared" si="5"/>
        <v>1</v>
      </c>
      <c r="F77" s="26">
        <f t="shared" si="4"/>
        <v>0.97142857142857142</v>
      </c>
      <c r="G77" s="55"/>
    </row>
    <row r="78" spans="1:7" x14ac:dyDescent="0.35">
      <c r="A78" s="1" t="s">
        <v>43</v>
      </c>
      <c r="B78" s="3">
        <v>28</v>
      </c>
      <c r="C78" s="3"/>
      <c r="D78" s="4">
        <v>28</v>
      </c>
      <c r="E78" s="12">
        <f t="shared" si="5"/>
        <v>0</v>
      </c>
      <c r="F78" s="26">
        <f t="shared" si="4"/>
        <v>1</v>
      </c>
      <c r="G78" s="55"/>
    </row>
    <row r="79" spans="1:7" x14ac:dyDescent="0.35">
      <c r="A79" s="1" t="s">
        <v>44</v>
      </c>
      <c r="B79" s="3">
        <v>39</v>
      </c>
      <c r="C79" s="3"/>
      <c r="D79" s="4">
        <v>35</v>
      </c>
      <c r="E79" s="12">
        <f t="shared" si="5"/>
        <v>4</v>
      </c>
      <c r="F79" s="26">
        <f t="shared" si="4"/>
        <v>0.89743589743589747</v>
      </c>
      <c r="G79" s="55"/>
    </row>
    <row r="80" spans="1:7" x14ac:dyDescent="0.35">
      <c r="A80" s="13" t="s">
        <v>88</v>
      </c>
      <c r="B80" s="6">
        <f>SUM(B77:B79)</f>
        <v>102</v>
      </c>
      <c r="C80" s="6"/>
      <c r="D80" s="6">
        <f>SUM(D77:D79)</f>
        <v>97</v>
      </c>
      <c r="E80" s="6">
        <f>SUM(E77:E79)</f>
        <v>5</v>
      </c>
      <c r="F80" s="30">
        <f t="shared" si="4"/>
        <v>0.9509803921568627</v>
      </c>
      <c r="G80" s="55"/>
    </row>
    <row r="81" spans="1:7" x14ac:dyDescent="0.35">
      <c r="A81" s="1" t="s">
        <v>165</v>
      </c>
      <c r="B81" s="12">
        <v>12</v>
      </c>
      <c r="C81" s="12"/>
      <c r="D81" s="4">
        <v>11</v>
      </c>
      <c r="E81" s="12">
        <f t="shared" si="5"/>
        <v>1</v>
      </c>
      <c r="F81" s="26">
        <f t="shared" si="4"/>
        <v>0.91666666666666663</v>
      </c>
      <c r="G81" s="55"/>
    </row>
    <row r="82" spans="1:7" x14ac:dyDescent="0.35">
      <c r="A82" s="1" t="s">
        <v>166</v>
      </c>
      <c r="B82" s="3">
        <v>19</v>
      </c>
      <c r="C82" s="3"/>
      <c r="D82" s="4">
        <v>17</v>
      </c>
      <c r="E82" s="12">
        <f t="shared" si="5"/>
        <v>2</v>
      </c>
      <c r="F82" s="26">
        <f>90%</f>
        <v>0.9</v>
      </c>
      <c r="G82" s="55"/>
    </row>
    <row r="83" spans="1:7" x14ac:dyDescent="0.35">
      <c r="A83" s="1" t="s">
        <v>26</v>
      </c>
      <c r="B83" s="3">
        <v>21</v>
      </c>
      <c r="C83" s="3"/>
      <c r="D83" s="4">
        <v>20</v>
      </c>
      <c r="E83" s="12">
        <f t="shared" si="5"/>
        <v>1</v>
      </c>
      <c r="F83" s="26">
        <f t="shared" si="4"/>
        <v>0.95238095238095233</v>
      </c>
      <c r="G83" s="55"/>
    </row>
    <row r="84" spans="1:7" x14ac:dyDescent="0.35">
      <c r="A84" s="1" t="s">
        <v>167</v>
      </c>
      <c r="B84" s="3">
        <v>26</v>
      </c>
      <c r="C84" s="3"/>
      <c r="D84" s="4">
        <v>26</v>
      </c>
      <c r="E84" s="12">
        <f t="shared" si="5"/>
        <v>0</v>
      </c>
      <c r="F84" s="26">
        <f t="shared" si="4"/>
        <v>1</v>
      </c>
      <c r="G84" s="55"/>
    </row>
    <row r="85" spans="1:7" x14ac:dyDescent="0.35">
      <c r="A85" s="1" t="s">
        <v>168</v>
      </c>
      <c r="B85" s="3">
        <v>34</v>
      </c>
      <c r="C85" s="3"/>
      <c r="D85" s="4">
        <v>33</v>
      </c>
      <c r="E85" s="12">
        <f t="shared" si="5"/>
        <v>1</v>
      </c>
      <c r="F85" s="26">
        <f t="shared" si="4"/>
        <v>0.97058823529411764</v>
      </c>
      <c r="G85" s="55"/>
    </row>
    <row r="86" spans="1:7" x14ac:dyDescent="0.35">
      <c r="A86" s="13" t="s">
        <v>88</v>
      </c>
      <c r="B86" s="6">
        <f>SUM(B81:B85)</f>
        <v>112</v>
      </c>
      <c r="C86" s="6"/>
      <c r="D86" s="6">
        <f>SUM(D81:D85)</f>
        <v>107</v>
      </c>
      <c r="E86" s="6">
        <f>SUM(E81:E85)</f>
        <v>5</v>
      </c>
      <c r="F86" s="30">
        <f t="shared" si="4"/>
        <v>0.9553571428571429</v>
      </c>
      <c r="G86" s="55"/>
    </row>
    <row r="87" spans="1:7" x14ac:dyDescent="0.35">
      <c r="A87" s="1" t="s">
        <v>169</v>
      </c>
      <c r="B87" s="3">
        <v>15</v>
      </c>
      <c r="C87" s="3"/>
      <c r="D87" s="4">
        <v>15</v>
      </c>
      <c r="E87" s="12">
        <f t="shared" si="5"/>
        <v>0</v>
      </c>
      <c r="F87" s="26">
        <f t="shared" si="4"/>
        <v>1</v>
      </c>
      <c r="G87" s="55"/>
    </row>
    <row r="88" spans="1:7" x14ac:dyDescent="0.35">
      <c r="A88" s="1" t="s">
        <v>170</v>
      </c>
      <c r="B88" s="3">
        <v>12</v>
      </c>
      <c r="C88" s="3"/>
      <c r="D88" s="4">
        <v>12</v>
      </c>
      <c r="E88" s="12">
        <f t="shared" si="5"/>
        <v>0</v>
      </c>
      <c r="F88" s="26">
        <f t="shared" si="4"/>
        <v>1</v>
      </c>
      <c r="G88" s="55"/>
    </row>
    <row r="89" spans="1:7" x14ac:dyDescent="0.35">
      <c r="A89" s="1" t="s">
        <v>171</v>
      </c>
      <c r="B89" s="3">
        <v>18</v>
      </c>
      <c r="C89" s="3"/>
      <c r="D89" s="4">
        <v>18</v>
      </c>
      <c r="E89" s="12">
        <f t="shared" si="5"/>
        <v>0</v>
      </c>
      <c r="F89" s="26">
        <f t="shared" si="4"/>
        <v>1</v>
      </c>
      <c r="G89" s="55"/>
    </row>
    <row r="90" spans="1:7" x14ac:dyDescent="0.35">
      <c r="A90" s="1" t="s">
        <v>172</v>
      </c>
      <c r="B90" s="3">
        <v>38</v>
      </c>
      <c r="C90" s="3"/>
      <c r="D90" s="4">
        <v>38</v>
      </c>
      <c r="E90" s="12">
        <f t="shared" si="5"/>
        <v>0</v>
      </c>
      <c r="F90" s="26">
        <f t="shared" si="4"/>
        <v>1</v>
      </c>
      <c r="G90" s="55"/>
    </row>
    <row r="91" spans="1:7" x14ac:dyDescent="0.35">
      <c r="A91" s="1" t="s">
        <v>173</v>
      </c>
      <c r="B91" s="3">
        <v>16</v>
      </c>
      <c r="C91" s="3"/>
      <c r="D91" s="4">
        <v>16</v>
      </c>
      <c r="E91" s="12">
        <f t="shared" si="5"/>
        <v>0</v>
      </c>
      <c r="F91" s="26">
        <f t="shared" si="4"/>
        <v>1</v>
      </c>
      <c r="G91" s="55"/>
    </row>
    <row r="92" spans="1:7" x14ac:dyDescent="0.35">
      <c r="A92" s="1" t="s">
        <v>174</v>
      </c>
      <c r="B92" s="3">
        <v>19</v>
      </c>
      <c r="C92" s="3"/>
      <c r="D92" s="4">
        <v>19</v>
      </c>
      <c r="E92" s="12">
        <f t="shared" si="5"/>
        <v>0</v>
      </c>
      <c r="F92" s="26">
        <f t="shared" si="4"/>
        <v>1</v>
      </c>
      <c r="G92" s="55"/>
    </row>
    <row r="93" spans="1:7" x14ac:dyDescent="0.35">
      <c r="A93" s="1" t="s">
        <v>175</v>
      </c>
      <c r="B93" s="3">
        <v>17</v>
      </c>
      <c r="C93" s="3"/>
      <c r="D93" s="4">
        <v>17</v>
      </c>
      <c r="E93" s="12">
        <f t="shared" si="5"/>
        <v>0</v>
      </c>
      <c r="F93" s="26">
        <f t="shared" si="4"/>
        <v>1</v>
      </c>
      <c r="G93" s="55"/>
    </row>
    <row r="94" spans="1:7" x14ac:dyDescent="0.35">
      <c r="A94" s="13" t="s">
        <v>88</v>
      </c>
      <c r="B94" s="6">
        <f>SUM(B87:B93)</f>
        <v>135</v>
      </c>
      <c r="C94" s="6"/>
      <c r="D94" s="6">
        <f>SUM(D87:D93)</f>
        <v>135</v>
      </c>
      <c r="E94" s="6">
        <f>SUM(E87:E93)</f>
        <v>0</v>
      </c>
      <c r="F94" s="30">
        <f t="shared" si="4"/>
        <v>1</v>
      </c>
      <c r="G94" s="55"/>
    </row>
    <row r="95" spans="1:7" x14ac:dyDescent="0.35">
      <c r="A95" s="1" t="s">
        <v>176</v>
      </c>
      <c r="B95" s="3">
        <v>28</v>
      </c>
      <c r="C95" s="3"/>
      <c r="D95" s="4">
        <v>28</v>
      </c>
      <c r="E95" s="12">
        <f t="shared" si="5"/>
        <v>0</v>
      </c>
      <c r="F95" s="26">
        <f t="shared" si="4"/>
        <v>1</v>
      </c>
      <c r="G95" s="55"/>
    </row>
    <row r="96" spans="1:7" x14ac:dyDescent="0.35">
      <c r="A96" s="1" t="s">
        <v>177</v>
      </c>
      <c r="B96" s="3">
        <v>12</v>
      </c>
      <c r="C96" s="3"/>
      <c r="D96" s="4">
        <v>12</v>
      </c>
      <c r="E96" s="12">
        <f t="shared" si="5"/>
        <v>0</v>
      </c>
      <c r="F96" s="26">
        <f t="shared" si="4"/>
        <v>1</v>
      </c>
      <c r="G96" s="55"/>
    </row>
    <row r="97" spans="1:7" x14ac:dyDescent="0.35">
      <c r="A97" s="1" t="s">
        <v>178</v>
      </c>
      <c r="B97" s="3">
        <v>24</v>
      </c>
      <c r="C97" s="3"/>
      <c r="D97" s="4">
        <v>24</v>
      </c>
      <c r="E97" s="12">
        <f t="shared" si="5"/>
        <v>0</v>
      </c>
      <c r="F97" s="26">
        <f t="shared" si="4"/>
        <v>1</v>
      </c>
      <c r="G97" s="55"/>
    </row>
    <row r="98" spans="1:7" x14ac:dyDescent="0.35">
      <c r="A98" s="1" t="s">
        <v>179</v>
      </c>
      <c r="B98" s="3">
        <v>12</v>
      </c>
      <c r="C98" s="3"/>
      <c r="D98" s="4">
        <v>10</v>
      </c>
      <c r="E98" s="12">
        <f t="shared" si="5"/>
        <v>2</v>
      </c>
      <c r="F98" s="26">
        <f t="shared" si="4"/>
        <v>0.83333333333333337</v>
      </c>
      <c r="G98" s="55"/>
    </row>
    <row r="99" spans="1:7" x14ac:dyDescent="0.35">
      <c r="A99" s="1" t="s">
        <v>180</v>
      </c>
      <c r="B99" s="3" t="s">
        <v>181</v>
      </c>
      <c r="C99" s="3">
        <v>31</v>
      </c>
      <c r="D99" s="4">
        <v>29</v>
      </c>
      <c r="E99" s="12">
        <f>C99-D99</f>
        <v>2</v>
      </c>
      <c r="F99" s="26">
        <f>D99/C99</f>
        <v>0.93548387096774188</v>
      </c>
      <c r="G99" s="55"/>
    </row>
    <row r="100" spans="1:7" x14ac:dyDescent="0.35">
      <c r="A100" s="13" t="s">
        <v>88</v>
      </c>
      <c r="B100" s="6">
        <f>SUM(B95:B98)+31</f>
        <v>107</v>
      </c>
      <c r="C100" s="6"/>
      <c r="D100" s="6">
        <f>SUM(D95:D99)</f>
        <v>103</v>
      </c>
      <c r="E100" s="6">
        <f>SUM(E95:E99)</f>
        <v>4</v>
      </c>
      <c r="F100" s="30">
        <f t="shared" si="4"/>
        <v>0.96261682242990654</v>
      </c>
      <c r="G100" s="55"/>
    </row>
    <row r="101" spans="1:7" x14ac:dyDescent="0.35">
      <c r="A101" s="13" t="s">
        <v>161</v>
      </c>
      <c r="B101" s="6">
        <f>SUM(B76,B80,B86,B94,B100)</f>
        <v>529</v>
      </c>
      <c r="C101" s="6"/>
      <c r="D101" s="6">
        <f>SUM(D76,D80,D86,D94,D100)</f>
        <v>509</v>
      </c>
      <c r="E101" s="6">
        <f>SUM(E76,E80,E86,E94,E100)</f>
        <v>20</v>
      </c>
      <c r="F101" s="30">
        <f t="shared" si="4"/>
        <v>0.96219281663516065</v>
      </c>
      <c r="G101" s="55"/>
    </row>
    <row r="102" spans="1:7" x14ac:dyDescent="0.35">
      <c r="A102" s="1" t="s">
        <v>182</v>
      </c>
      <c r="B102" s="3">
        <v>12</v>
      </c>
      <c r="C102" s="3"/>
      <c r="D102" s="4">
        <v>8</v>
      </c>
      <c r="E102" s="12">
        <f>B102-D102</f>
        <v>4</v>
      </c>
      <c r="F102" s="26">
        <f t="shared" si="4"/>
        <v>0.66666666666666663</v>
      </c>
      <c r="G102" s="55"/>
    </row>
    <row r="103" spans="1:7" x14ac:dyDescent="0.35">
      <c r="A103" s="1" t="s">
        <v>183</v>
      </c>
      <c r="B103" s="3">
        <v>11</v>
      </c>
      <c r="C103" s="3"/>
      <c r="D103" s="4">
        <v>2</v>
      </c>
      <c r="E103" s="12">
        <f t="shared" ref="E103:E158" si="6">B103-D103</f>
        <v>9</v>
      </c>
      <c r="F103" s="26">
        <f t="shared" si="4"/>
        <v>0.18181818181818182</v>
      </c>
      <c r="G103" s="55"/>
    </row>
    <row r="104" spans="1:7" x14ac:dyDescent="0.35">
      <c r="A104" s="1" t="s">
        <v>10</v>
      </c>
      <c r="B104" s="3">
        <v>12</v>
      </c>
      <c r="C104" s="3"/>
      <c r="D104" s="4">
        <v>5</v>
      </c>
      <c r="E104" s="12">
        <f t="shared" si="6"/>
        <v>7</v>
      </c>
      <c r="F104" s="26">
        <f t="shared" si="4"/>
        <v>0.41666666666666669</v>
      </c>
      <c r="G104" s="55"/>
    </row>
    <row r="105" spans="1:7" x14ac:dyDescent="0.35">
      <c r="A105" s="1" t="s">
        <v>184</v>
      </c>
      <c r="B105" s="3">
        <v>12</v>
      </c>
      <c r="C105" s="3"/>
      <c r="D105" s="4">
        <v>2</v>
      </c>
      <c r="E105" s="12">
        <f t="shared" si="6"/>
        <v>10</v>
      </c>
      <c r="F105" s="26">
        <f t="shared" si="4"/>
        <v>0.16666666666666666</v>
      </c>
      <c r="G105" s="55"/>
    </row>
    <row r="106" spans="1:7" x14ac:dyDescent="0.35">
      <c r="A106" s="1" t="s">
        <v>185</v>
      </c>
      <c r="B106" s="3">
        <v>16</v>
      </c>
      <c r="C106" s="3"/>
      <c r="D106" s="4">
        <v>4</v>
      </c>
      <c r="E106" s="12">
        <f t="shared" si="6"/>
        <v>12</v>
      </c>
      <c r="F106" s="26">
        <f t="shared" si="4"/>
        <v>0.25</v>
      </c>
      <c r="G106" s="55"/>
    </row>
    <row r="107" spans="1:7" x14ac:dyDescent="0.35">
      <c r="A107" s="1" t="s">
        <v>186</v>
      </c>
      <c r="B107" s="3">
        <v>10</v>
      </c>
      <c r="C107" s="3"/>
      <c r="D107" s="4">
        <v>4</v>
      </c>
      <c r="E107" s="12">
        <f t="shared" si="6"/>
        <v>6</v>
      </c>
      <c r="F107" s="26">
        <f t="shared" si="4"/>
        <v>0.4</v>
      </c>
      <c r="G107" s="55"/>
    </row>
    <row r="108" spans="1:7" x14ac:dyDescent="0.35">
      <c r="A108" s="1" t="s">
        <v>12</v>
      </c>
      <c r="B108" s="3">
        <v>10</v>
      </c>
      <c r="C108" s="3"/>
      <c r="D108" s="4">
        <v>4</v>
      </c>
      <c r="E108" s="12">
        <f t="shared" si="6"/>
        <v>6</v>
      </c>
      <c r="F108" s="26">
        <f t="shared" si="4"/>
        <v>0.4</v>
      </c>
      <c r="G108" s="55"/>
    </row>
    <row r="109" spans="1:7" x14ac:dyDescent="0.35">
      <c r="A109" s="1" t="s">
        <v>187</v>
      </c>
      <c r="B109" s="3">
        <v>14</v>
      </c>
      <c r="C109" s="3"/>
      <c r="D109" s="4">
        <v>12</v>
      </c>
      <c r="E109" s="12">
        <f t="shared" si="6"/>
        <v>2</v>
      </c>
      <c r="F109" s="26">
        <f t="shared" si="4"/>
        <v>0.8571428571428571</v>
      </c>
      <c r="G109" s="55"/>
    </row>
    <row r="110" spans="1:7" x14ac:dyDescent="0.35">
      <c r="A110" s="1" t="s">
        <v>188</v>
      </c>
      <c r="B110" s="3" t="s">
        <v>141</v>
      </c>
      <c r="C110" s="3">
        <v>14</v>
      </c>
      <c r="D110" s="4">
        <v>3</v>
      </c>
      <c r="E110" s="12">
        <f>C110-D110</f>
        <v>11</v>
      </c>
      <c r="F110" s="26">
        <f>D110/C110</f>
        <v>0.21428571428571427</v>
      </c>
      <c r="G110" s="55"/>
    </row>
    <row r="111" spans="1:7" x14ac:dyDescent="0.35">
      <c r="A111" s="13" t="s">
        <v>88</v>
      </c>
      <c r="B111" s="6">
        <f>SUM(B102:B109)+14</f>
        <v>111</v>
      </c>
      <c r="C111" s="6"/>
      <c r="D111" s="6">
        <f>SUM(D102:D110)</f>
        <v>44</v>
      </c>
      <c r="E111" s="6">
        <f>SUM(E102:E110)</f>
        <v>67</v>
      </c>
      <c r="F111" s="30">
        <f t="shared" si="4"/>
        <v>0.3963963963963964</v>
      </c>
      <c r="G111" s="55"/>
    </row>
    <row r="112" spans="1:7" x14ac:dyDescent="0.35">
      <c r="A112" s="1" t="s">
        <v>189</v>
      </c>
      <c r="B112" s="12">
        <v>11</v>
      </c>
      <c r="C112" s="12"/>
      <c r="D112" s="4">
        <v>2</v>
      </c>
      <c r="E112" s="12">
        <f t="shared" si="6"/>
        <v>9</v>
      </c>
      <c r="F112" s="26">
        <f t="shared" si="4"/>
        <v>0.18181818181818182</v>
      </c>
      <c r="G112" s="55"/>
    </row>
    <row r="113" spans="1:7" x14ac:dyDescent="0.35">
      <c r="A113" s="2" t="s">
        <v>190</v>
      </c>
      <c r="B113" s="12">
        <v>36</v>
      </c>
      <c r="C113" s="12"/>
      <c r="D113" s="4">
        <v>9</v>
      </c>
      <c r="E113" s="12">
        <f t="shared" si="6"/>
        <v>27</v>
      </c>
      <c r="F113" s="26">
        <f t="shared" si="4"/>
        <v>0.25</v>
      </c>
      <c r="G113" s="55"/>
    </row>
    <row r="114" spans="1:7" x14ac:dyDescent="0.35">
      <c r="A114" s="1" t="s">
        <v>191</v>
      </c>
      <c r="B114" s="12">
        <v>19</v>
      </c>
      <c r="C114" s="12"/>
      <c r="D114" s="4">
        <v>11</v>
      </c>
      <c r="E114" s="12">
        <f t="shared" si="6"/>
        <v>8</v>
      </c>
      <c r="F114" s="26">
        <f t="shared" si="4"/>
        <v>0.57894736842105265</v>
      </c>
      <c r="G114" s="55"/>
    </row>
    <row r="115" spans="1:7" x14ac:dyDescent="0.35">
      <c r="A115" s="1" t="s">
        <v>192</v>
      </c>
      <c r="B115" s="12">
        <v>20</v>
      </c>
      <c r="C115" s="12"/>
      <c r="D115" s="4">
        <v>3</v>
      </c>
      <c r="E115" s="12">
        <f t="shared" si="6"/>
        <v>17</v>
      </c>
      <c r="F115" s="26">
        <f t="shared" si="4"/>
        <v>0.15</v>
      </c>
      <c r="G115" s="55"/>
    </row>
    <row r="116" spans="1:7" x14ac:dyDescent="0.35">
      <c r="A116" s="13" t="s">
        <v>88</v>
      </c>
      <c r="B116" s="6">
        <f>SUM(B112:B115)</f>
        <v>86</v>
      </c>
      <c r="C116" s="6"/>
      <c r="D116" s="6">
        <f>SUM(D112:D115)</f>
        <v>25</v>
      </c>
      <c r="E116" s="6">
        <f>SUM(E112:E115)</f>
        <v>61</v>
      </c>
      <c r="F116" s="30">
        <f t="shared" si="4"/>
        <v>0.29069767441860467</v>
      </c>
      <c r="G116" s="55"/>
    </row>
    <row r="117" spans="1:7" x14ac:dyDescent="0.35">
      <c r="A117" s="2" t="s">
        <v>193</v>
      </c>
      <c r="B117" s="12" t="s">
        <v>194</v>
      </c>
      <c r="C117" s="12">
        <v>40</v>
      </c>
      <c r="D117" s="4">
        <v>4</v>
      </c>
      <c r="E117" s="12">
        <f>C117-D117</f>
        <v>36</v>
      </c>
      <c r="F117" s="26">
        <f>D117/C117</f>
        <v>0.1</v>
      </c>
      <c r="G117" s="55"/>
    </row>
    <row r="118" spans="1:7" x14ac:dyDescent="0.35">
      <c r="A118" s="1" t="s">
        <v>195</v>
      </c>
      <c r="B118" s="12">
        <v>13</v>
      </c>
      <c r="C118" s="12"/>
      <c r="D118" s="4">
        <v>0</v>
      </c>
      <c r="E118" s="12">
        <f t="shared" si="6"/>
        <v>13</v>
      </c>
      <c r="F118" s="26">
        <f t="shared" si="4"/>
        <v>0</v>
      </c>
      <c r="G118" s="55"/>
    </row>
    <row r="119" spans="1:7" x14ac:dyDescent="0.35">
      <c r="A119" s="13" t="s">
        <v>88</v>
      </c>
      <c r="B119" s="6">
        <f>40+13</f>
        <v>53</v>
      </c>
      <c r="C119" s="6"/>
      <c r="D119" s="6">
        <f>SUM(D117:D118)</f>
        <v>4</v>
      </c>
      <c r="E119" s="6">
        <f>SUM(E117:E118)</f>
        <v>49</v>
      </c>
      <c r="F119" s="30">
        <f t="shared" si="4"/>
        <v>7.5471698113207544E-2</v>
      </c>
      <c r="G119" s="55"/>
    </row>
    <row r="120" spans="1:7" x14ac:dyDescent="0.35">
      <c r="A120" s="1" t="s">
        <v>196</v>
      </c>
      <c r="B120" s="12">
        <v>23</v>
      </c>
      <c r="C120" s="12"/>
      <c r="D120" s="4">
        <v>5</v>
      </c>
      <c r="E120" s="12">
        <f t="shared" si="6"/>
        <v>18</v>
      </c>
      <c r="F120" s="26">
        <f t="shared" si="4"/>
        <v>0.21739130434782608</v>
      </c>
      <c r="G120" s="55"/>
    </row>
    <row r="121" spans="1:7" x14ac:dyDescent="0.35">
      <c r="A121" s="2" t="s">
        <v>197</v>
      </c>
      <c r="B121" s="12">
        <v>10</v>
      </c>
      <c r="C121" s="12"/>
      <c r="D121" s="4">
        <v>1</v>
      </c>
      <c r="E121" s="12">
        <f t="shared" si="6"/>
        <v>9</v>
      </c>
      <c r="F121" s="26">
        <f t="shared" si="4"/>
        <v>0.1</v>
      </c>
      <c r="G121" s="55"/>
    </row>
    <row r="122" spans="1:7" x14ac:dyDescent="0.35">
      <c r="A122" s="1" t="s">
        <v>198</v>
      </c>
      <c r="B122" s="12">
        <v>23</v>
      </c>
      <c r="C122" s="12"/>
      <c r="D122" s="4">
        <v>2</v>
      </c>
      <c r="E122" s="12">
        <f t="shared" si="6"/>
        <v>21</v>
      </c>
      <c r="F122" s="26">
        <f t="shared" si="4"/>
        <v>8.6956521739130432E-2</v>
      </c>
      <c r="G122" s="55"/>
    </row>
    <row r="123" spans="1:7" x14ac:dyDescent="0.35">
      <c r="A123" s="1" t="s">
        <v>199</v>
      </c>
      <c r="B123" s="12">
        <v>24</v>
      </c>
      <c r="C123" s="12"/>
      <c r="D123" s="4">
        <v>3</v>
      </c>
      <c r="E123" s="12">
        <f t="shared" si="6"/>
        <v>21</v>
      </c>
      <c r="F123" s="26">
        <f t="shared" si="4"/>
        <v>0.125</v>
      </c>
      <c r="G123" s="55"/>
    </row>
    <row r="124" spans="1:7" x14ac:dyDescent="0.35">
      <c r="A124" s="1" t="s">
        <v>200</v>
      </c>
      <c r="B124" s="12">
        <v>15</v>
      </c>
      <c r="C124" s="12"/>
      <c r="D124" s="4">
        <v>1</v>
      </c>
      <c r="E124" s="12">
        <f t="shared" si="6"/>
        <v>14</v>
      </c>
      <c r="F124" s="26">
        <f t="shared" si="4"/>
        <v>6.6666666666666666E-2</v>
      </c>
      <c r="G124" s="55"/>
    </row>
    <row r="125" spans="1:7" x14ac:dyDescent="0.35">
      <c r="A125" s="13" t="s">
        <v>88</v>
      </c>
      <c r="B125" s="6">
        <f>SUM(B120:B124)</f>
        <v>95</v>
      </c>
      <c r="C125" s="6"/>
      <c r="D125" s="6">
        <f>SUM(D120:D124)</f>
        <v>12</v>
      </c>
      <c r="E125" s="6">
        <f>SUM(E120:E124)</f>
        <v>83</v>
      </c>
      <c r="F125" s="30">
        <f t="shared" si="4"/>
        <v>0.12631578947368421</v>
      </c>
      <c r="G125" s="55"/>
    </row>
    <row r="126" spans="1:7" x14ac:dyDescent="0.35">
      <c r="A126" s="2" t="s">
        <v>201</v>
      </c>
      <c r="B126" s="12">
        <v>14</v>
      </c>
      <c r="C126" s="12"/>
      <c r="D126" s="4">
        <v>5</v>
      </c>
      <c r="E126" s="12">
        <f t="shared" si="6"/>
        <v>9</v>
      </c>
      <c r="F126" s="26">
        <f t="shared" si="4"/>
        <v>0.35714285714285715</v>
      </c>
      <c r="G126" s="55"/>
    </row>
    <row r="127" spans="1:7" x14ac:dyDescent="0.35">
      <c r="A127" s="1" t="s">
        <v>202</v>
      </c>
      <c r="B127" s="12">
        <v>23</v>
      </c>
      <c r="C127" s="12"/>
      <c r="D127" s="4">
        <v>3</v>
      </c>
      <c r="E127" s="12">
        <f t="shared" si="6"/>
        <v>20</v>
      </c>
      <c r="F127" s="26">
        <f t="shared" si="4"/>
        <v>0.13043478260869565</v>
      </c>
      <c r="G127" s="55"/>
    </row>
    <row r="128" spans="1:7" x14ac:dyDescent="0.35">
      <c r="A128" s="1" t="s">
        <v>19</v>
      </c>
      <c r="B128" s="12">
        <v>23</v>
      </c>
      <c r="C128" s="12"/>
      <c r="D128" s="4">
        <v>6</v>
      </c>
      <c r="E128" s="12">
        <f t="shared" si="6"/>
        <v>17</v>
      </c>
      <c r="F128" s="26">
        <f t="shared" si="4"/>
        <v>0.2608695652173913</v>
      </c>
      <c r="G128" s="55"/>
    </row>
    <row r="129" spans="1:7" x14ac:dyDescent="0.35">
      <c r="A129" s="1" t="s">
        <v>203</v>
      </c>
      <c r="B129" s="12">
        <v>20</v>
      </c>
      <c r="C129" s="12"/>
      <c r="D129" s="4">
        <v>2</v>
      </c>
      <c r="E129" s="12">
        <f t="shared" si="6"/>
        <v>18</v>
      </c>
      <c r="F129" s="26">
        <f t="shared" si="4"/>
        <v>0.1</v>
      </c>
      <c r="G129" s="55"/>
    </row>
    <row r="130" spans="1:7" x14ac:dyDescent="0.35">
      <c r="A130" s="13" t="s">
        <v>88</v>
      </c>
      <c r="B130" s="6">
        <f>SUM(B126:B129)</f>
        <v>80</v>
      </c>
      <c r="C130" s="6"/>
      <c r="D130" s="6">
        <f>SUM(D126:D129)</f>
        <v>16</v>
      </c>
      <c r="E130" s="6">
        <f>SUM(E126:E129)</f>
        <v>64</v>
      </c>
      <c r="F130" s="30">
        <f t="shared" si="4"/>
        <v>0.2</v>
      </c>
      <c r="G130" s="55"/>
    </row>
    <row r="131" spans="1:7" x14ac:dyDescent="0.35">
      <c r="A131" s="1" t="s">
        <v>17</v>
      </c>
      <c r="B131" s="12">
        <v>30</v>
      </c>
      <c r="C131" s="12"/>
      <c r="D131" s="4">
        <v>8</v>
      </c>
      <c r="E131" s="12">
        <f t="shared" si="6"/>
        <v>22</v>
      </c>
      <c r="F131" s="26">
        <f t="shared" ref="F131:F194" si="7">D131/B131</f>
        <v>0.26666666666666666</v>
      </c>
      <c r="G131" s="55"/>
    </row>
    <row r="132" spans="1:7" x14ac:dyDescent="0.35">
      <c r="A132" s="1" t="s">
        <v>204</v>
      </c>
      <c r="B132" s="12">
        <v>18</v>
      </c>
      <c r="C132" s="12"/>
      <c r="D132" s="4">
        <v>13</v>
      </c>
      <c r="E132" s="12">
        <f t="shared" si="6"/>
        <v>5</v>
      </c>
      <c r="F132" s="26">
        <f t="shared" si="7"/>
        <v>0.72222222222222221</v>
      </c>
      <c r="G132" s="55"/>
    </row>
    <row r="133" spans="1:7" x14ac:dyDescent="0.35">
      <c r="A133" s="1" t="s">
        <v>205</v>
      </c>
      <c r="B133" s="12">
        <v>12</v>
      </c>
      <c r="C133" s="12"/>
      <c r="D133" s="4">
        <v>4</v>
      </c>
      <c r="E133" s="12">
        <f t="shared" si="6"/>
        <v>8</v>
      </c>
      <c r="F133" s="26">
        <f t="shared" si="7"/>
        <v>0.33333333333333331</v>
      </c>
      <c r="G133" s="55"/>
    </row>
    <row r="134" spans="1:7" x14ac:dyDescent="0.35">
      <c r="A134" s="2" t="s">
        <v>206</v>
      </c>
      <c r="B134" s="12">
        <v>19</v>
      </c>
      <c r="C134" s="12"/>
      <c r="D134" s="4">
        <v>8</v>
      </c>
      <c r="E134" s="12">
        <f t="shared" si="6"/>
        <v>11</v>
      </c>
      <c r="F134" s="26">
        <f t="shared" si="7"/>
        <v>0.42105263157894735</v>
      </c>
      <c r="G134" s="55"/>
    </row>
    <row r="135" spans="1:7" x14ac:dyDescent="0.35">
      <c r="A135" s="13" t="s">
        <v>88</v>
      </c>
      <c r="B135" s="6">
        <f>SUM(B131:B134)</f>
        <v>79</v>
      </c>
      <c r="C135" s="6"/>
      <c r="D135" s="6">
        <f>SUM(D131:D134)</f>
        <v>33</v>
      </c>
      <c r="E135" s="6">
        <f>SUM(E131:E134)</f>
        <v>46</v>
      </c>
      <c r="F135" s="30">
        <f t="shared" si="7"/>
        <v>0.41772151898734178</v>
      </c>
      <c r="G135" s="55"/>
    </row>
    <row r="136" spans="1:7" x14ac:dyDescent="0.35">
      <c r="A136" s="1" t="s">
        <v>207</v>
      </c>
      <c r="B136" s="12" t="s">
        <v>208</v>
      </c>
      <c r="C136" s="12">
        <v>20</v>
      </c>
      <c r="D136" s="4">
        <v>12</v>
      </c>
      <c r="E136" s="12">
        <f>C136-D136</f>
        <v>8</v>
      </c>
      <c r="F136" s="26">
        <f>D136/C136</f>
        <v>0.6</v>
      </c>
      <c r="G136" s="55"/>
    </row>
    <row r="137" spans="1:7" x14ac:dyDescent="0.35">
      <c r="A137" s="2" t="s">
        <v>14</v>
      </c>
      <c r="B137" s="12">
        <v>10</v>
      </c>
      <c r="C137" s="12"/>
      <c r="D137" s="4">
        <v>9</v>
      </c>
      <c r="E137" s="12">
        <f t="shared" si="6"/>
        <v>1</v>
      </c>
      <c r="F137" s="26">
        <f t="shared" si="7"/>
        <v>0.9</v>
      </c>
      <c r="G137" s="55"/>
    </row>
    <row r="138" spans="1:7" x14ac:dyDescent="0.35">
      <c r="A138" s="1" t="s">
        <v>209</v>
      </c>
      <c r="B138" s="12">
        <v>14</v>
      </c>
      <c r="C138" s="12"/>
      <c r="D138" s="4">
        <v>8</v>
      </c>
      <c r="E138" s="12">
        <f t="shared" si="6"/>
        <v>6</v>
      </c>
      <c r="F138" s="26">
        <f t="shared" si="7"/>
        <v>0.5714285714285714</v>
      </c>
      <c r="G138" s="55"/>
    </row>
    <row r="139" spans="1:7" x14ac:dyDescent="0.35">
      <c r="A139" s="1" t="s">
        <v>15</v>
      </c>
      <c r="B139" s="12">
        <v>22</v>
      </c>
      <c r="C139" s="12"/>
      <c r="D139" s="4">
        <v>7</v>
      </c>
      <c r="E139" s="12">
        <f t="shared" si="6"/>
        <v>15</v>
      </c>
      <c r="F139" s="26">
        <f t="shared" si="7"/>
        <v>0.31818181818181818</v>
      </c>
      <c r="G139" s="55"/>
    </row>
    <row r="140" spans="1:7" x14ac:dyDescent="0.35">
      <c r="A140" s="13" t="s">
        <v>88</v>
      </c>
      <c r="B140" s="6">
        <f>20+10+14+22</f>
        <v>66</v>
      </c>
      <c r="C140" s="6"/>
      <c r="D140" s="6">
        <f>SUM(D136:D139)</f>
        <v>36</v>
      </c>
      <c r="E140" s="6">
        <f>SUM(E136:E139)</f>
        <v>30</v>
      </c>
      <c r="F140" s="30">
        <f t="shared" si="7"/>
        <v>0.54545454545454541</v>
      </c>
      <c r="G140" s="55"/>
    </row>
    <row r="141" spans="1:7" x14ac:dyDescent="0.35">
      <c r="A141" s="1" t="s">
        <v>210</v>
      </c>
      <c r="B141" s="3" t="s">
        <v>211</v>
      </c>
      <c r="C141" s="3">
        <v>46</v>
      </c>
      <c r="D141" s="4">
        <v>33</v>
      </c>
      <c r="E141" s="12">
        <f>C141-D141</f>
        <v>13</v>
      </c>
      <c r="F141" s="26">
        <f>D141/C141</f>
        <v>0.71739130434782605</v>
      </c>
      <c r="G141" s="55"/>
    </row>
    <row r="142" spans="1:7" x14ac:dyDescent="0.35">
      <c r="A142" s="1" t="s">
        <v>212</v>
      </c>
      <c r="B142" s="3" t="s">
        <v>141</v>
      </c>
      <c r="C142" s="3">
        <v>14</v>
      </c>
      <c r="D142" s="4">
        <v>5</v>
      </c>
      <c r="E142" s="12">
        <f>C142-D142</f>
        <v>9</v>
      </c>
      <c r="F142" s="26">
        <f>D142/C142</f>
        <v>0.35714285714285715</v>
      </c>
      <c r="G142" s="55"/>
    </row>
    <row r="143" spans="1:7" x14ac:dyDescent="0.35">
      <c r="A143" s="1" t="s">
        <v>213</v>
      </c>
      <c r="B143" s="3">
        <v>13</v>
      </c>
      <c r="C143" s="3"/>
      <c r="D143" s="4">
        <v>2</v>
      </c>
      <c r="E143" s="12">
        <f t="shared" si="6"/>
        <v>11</v>
      </c>
      <c r="F143" s="26">
        <f t="shared" si="7"/>
        <v>0.15384615384615385</v>
      </c>
      <c r="G143" s="55"/>
    </row>
    <row r="144" spans="1:7" x14ac:dyDescent="0.35">
      <c r="A144" s="1" t="s">
        <v>214</v>
      </c>
      <c r="B144" s="3">
        <v>14</v>
      </c>
      <c r="C144" s="3"/>
      <c r="D144" s="4">
        <v>7</v>
      </c>
      <c r="E144" s="12">
        <f t="shared" si="6"/>
        <v>7</v>
      </c>
      <c r="F144" s="26">
        <f t="shared" si="7"/>
        <v>0.5</v>
      </c>
      <c r="G144" s="55"/>
    </row>
    <row r="145" spans="1:7" x14ac:dyDescent="0.35">
      <c r="A145" s="13" t="s">
        <v>88</v>
      </c>
      <c r="B145" s="6">
        <f>46+14+13+14</f>
        <v>87</v>
      </c>
      <c r="C145" s="6"/>
      <c r="D145" s="6">
        <f>SUM(D141:D144)</f>
        <v>47</v>
      </c>
      <c r="E145" s="6">
        <f>SUM(E141:E144)</f>
        <v>40</v>
      </c>
      <c r="F145" s="30">
        <f t="shared" si="7"/>
        <v>0.54022988505747127</v>
      </c>
      <c r="G145" s="55"/>
    </row>
    <row r="146" spans="1:7" x14ac:dyDescent="0.35">
      <c r="A146" s="1" t="s">
        <v>215</v>
      </c>
      <c r="B146" s="3">
        <v>37</v>
      </c>
      <c r="C146" s="3"/>
      <c r="D146" s="4">
        <v>7</v>
      </c>
      <c r="E146" s="12">
        <f t="shared" si="6"/>
        <v>30</v>
      </c>
      <c r="F146" s="26">
        <f t="shared" si="7"/>
        <v>0.1891891891891892</v>
      </c>
      <c r="G146" s="55"/>
    </row>
    <row r="147" spans="1:7" x14ac:dyDescent="0.35">
      <c r="A147" s="1" t="s">
        <v>216</v>
      </c>
      <c r="B147" s="3">
        <v>24</v>
      </c>
      <c r="C147" s="3"/>
      <c r="D147" s="4">
        <v>1</v>
      </c>
      <c r="E147" s="12">
        <f t="shared" si="6"/>
        <v>23</v>
      </c>
      <c r="F147" s="26">
        <f t="shared" si="7"/>
        <v>4.1666666666666664E-2</v>
      </c>
      <c r="G147" s="55"/>
    </row>
    <row r="148" spans="1:7" x14ac:dyDescent="0.35">
      <c r="A148" s="1" t="s">
        <v>217</v>
      </c>
      <c r="B148" s="3">
        <v>15</v>
      </c>
      <c r="C148" s="3"/>
      <c r="D148" s="4">
        <v>3</v>
      </c>
      <c r="E148" s="12">
        <f t="shared" si="6"/>
        <v>12</v>
      </c>
      <c r="F148" s="26">
        <f t="shared" si="7"/>
        <v>0.2</v>
      </c>
      <c r="G148" s="55"/>
    </row>
    <row r="149" spans="1:7" x14ac:dyDescent="0.35">
      <c r="A149" s="13" t="s">
        <v>88</v>
      </c>
      <c r="B149" s="6">
        <f>SUM(B146:B148)</f>
        <v>76</v>
      </c>
      <c r="C149" s="6"/>
      <c r="D149" s="6">
        <f>SUM(D146:D148)</f>
        <v>11</v>
      </c>
      <c r="E149" s="6">
        <f>SUM(E146:E148)</f>
        <v>65</v>
      </c>
      <c r="F149" s="30">
        <f t="shared" si="7"/>
        <v>0.14473684210526316</v>
      </c>
      <c r="G149" s="55"/>
    </row>
    <row r="150" spans="1:7" x14ac:dyDescent="0.35">
      <c r="A150" s="1" t="s">
        <v>218</v>
      </c>
      <c r="B150" s="3" t="s">
        <v>219</v>
      </c>
      <c r="C150" s="3">
        <v>26</v>
      </c>
      <c r="D150" s="4">
        <v>2</v>
      </c>
      <c r="E150" s="12">
        <f>C150-D150</f>
        <v>24</v>
      </c>
      <c r="F150" s="26">
        <f>D150/C150</f>
        <v>7.6923076923076927E-2</v>
      </c>
      <c r="G150" s="55"/>
    </row>
    <row r="151" spans="1:7" x14ac:dyDescent="0.35">
      <c r="A151" s="1" t="s">
        <v>220</v>
      </c>
      <c r="B151" s="3">
        <v>21</v>
      </c>
      <c r="C151" s="3"/>
      <c r="D151" s="4">
        <v>1</v>
      </c>
      <c r="E151" s="12">
        <f t="shared" si="6"/>
        <v>20</v>
      </c>
      <c r="F151" s="26">
        <f t="shared" si="7"/>
        <v>4.7619047619047616E-2</v>
      </c>
      <c r="G151" s="55"/>
    </row>
    <row r="152" spans="1:7" x14ac:dyDescent="0.35">
      <c r="A152" s="1" t="s">
        <v>221</v>
      </c>
      <c r="B152" s="3">
        <v>14</v>
      </c>
      <c r="C152" s="3"/>
      <c r="D152" s="4">
        <v>1</v>
      </c>
      <c r="E152" s="12">
        <f t="shared" si="6"/>
        <v>13</v>
      </c>
      <c r="F152" s="26">
        <f t="shared" si="7"/>
        <v>7.1428571428571425E-2</v>
      </c>
      <c r="G152" s="55"/>
    </row>
    <row r="153" spans="1:7" x14ac:dyDescent="0.35">
      <c r="A153" s="13" t="s">
        <v>88</v>
      </c>
      <c r="B153" s="6">
        <f>26+21+14</f>
        <v>61</v>
      </c>
      <c r="C153" s="6"/>
      <c r="D153" s="6">
        <f>SUM(D150:D152)</f>
        <v>4</v>
      </c>
      <c r="E153" s="6">
        <f>SUM(E150:E152)</f>
        <v>57</v>
      </c>
      <c r="F153" s="30">
        <f t="shared" si="7"/>
        <v>6.5573770491803282E-2</v>
      </c>
      <c r="G153" s="55"/>
    </row>
    <row r="154" spans="1:7" x14ac:dyDescent="0.35">
      <c r="A154" s="1" t="s">
        <v>222</v>
      </c>
      <c r="B154" s="3">
        <v>13</v>
      </c>
      <c r="C154" s="3"/>
      <c r="D154" s="4">
        <v>2</v>
      </c>
      <c r="E154" s="12">
        <f t="shared" si="6"/>
        <v>11</v>
      </c>
      <c r="F154" s="26">
        <f t="shared" si="7"/>
        <v>0.15384615384615385</v>
      </c>
      <c r="G154" s="55"/>
    </row>
    <row r="155" spans="1:7" x14ac:dyDescent="0.35">
      <c r="A155" s="1" t="s">
        <v>223</v>
      </c>
      <c r="B155" s="3">
        <v>14</v>
      </c>
      <c r="C155" s="3"/>
      <c r="D155" s="4">
        <v>1</v>
      </c>
      <c r="E155" s="12">
        <f t="shared" si="6"/>
        <v>13</v>
      </c>
      <c r="F155" s="26">
        <f t="shared" si="7"/>
        <v>7.1428571428571425E-2</v>
      </c>
      <c r="G155" s="55"/>
    </row>
    <row r="156" spans="1:7" x14ac:dyDescent="0.35">
      <c r="A156" s="1" t="s">
        <v>224</v>
      </c>
      <c r="B156" s="3">
        <v>18</v>
      </c>
      <c r="C156" s="3"/>
      <c r="D156" s="4">
        <v>11</v>
      </c>
      <c r="E156" s="12">
        <f t="shared" si="6"/>
        <v>7</v>
      </c>
      <c r="F156" s="26">
        <f t="shared" si="7"/>
        <v>0.61111111111111116</v>
      </c>
      <c r="G156" s="55"/>
    </row>
    <row r="157" spans="1:7" x14ac:dyDescent="0.35">
      <c r="A157" s="1" t="s">
        <v>225</v>
      </c>
      <c r="B157" s="3">
        <v>34</v>
      </c>
      <c r="C157" s="3"/>
      <c r="D157" s="4">
        <v>13</v>
      </c>
      <c r="E157" s="12">
        <f t="shared" si="6"/>
        <v>21</v>
      </c>
      <c r="F157" s="26">
        <f t="shared" si="7"/>
        <v>0.38235294117647056</v>
      </c>
      <c r="G157" s="55"/>
    </row>
    <row r="158" spans="1:7" x14ac:dyDescent="0.35">
      <c r="A158" s="1" t="s">
        <v>226</v>
      </c>
      <c r="B158" s="3">
        <v>28</v>
      </c>
      <c r="C158" s="3"/>
      <c r="D158" s="4">
        <v>6</v>
      </c>
      <c r="E158" s="12">
        <f t="shared" si="6"/>
        <v>22</v>
      </c>
      <c r="F158" s="26">
        <f t="shared" si="7"/>
        <v>0.21428571428571427</v>
      </c>
      <c r="G158" s="55"/>
    </row>
    <row r="159" spans="1:7" x14ac:dyDescent="0.35">
      <c r="A159" s="13" t="s">
        <v>88</v>
      </c>
      <c r="B159" s="6">
        <f>SUM(B154:B158)</f>
        <v>107</v>
      </c>
      <c r="C159" s="6"/>
      <c r="D159" s="6">
        <f>SUM(D154:D158)</f>
        <v>33</v>
      </c>
      <c r="E159" s="6">
        <f>SUM(E154:E158)</f>
        <v>74</v>
      </c>
      <c r="F159" s="30">
        <f t="shared" si="7"/>
        <v>0.30841121495327101</v>
      </c>
      <c r="G159" s="55"/>
    </row>
    <row r="160" spans="1:7" x14ac:dyDescent="0.35">
      <c r="A160" s="13" t="s">
        <v>325</v>
      </c>
      <c r="B160" s="6">
        <f>SUM(B111,B116,B119,B125,B130,B135,B140,B145,B153,B149,B159)</f>
        <v>901</v>
      </c>
      <c r="C160" s="6"/>
      <c r="D160" s="6">
        <f>SUM(D111,D116,D119,D125,D130,D135,D140,D145,D153,D149,D159)</f>
        <v>265</v>
      </c>
      <c r="E160" s="6">
        <f>SUM(E111,E116,E119,E125,E130,E135,E140,E145,E153,E149,E159)</f>
        <v>636</v>
      </c>
      <c r="F160" s="30">
        <f t="shared" si="7"/>
        <v>0.29411764705882354</v>
      </c>
      <c r="G160" s="55"/>
    </row>
    <row r="161" spans="1:7" x14ac:dyDescent="0.35">
      <c r="A161" s="1" t="s">
        <v>62</v>
      </c>
      <c r="B161" s="3">
        <v>31</v>
      </c>
      <c r="C161" s="3"/>
      <c r="D161" s="4">
        <v>14</v>
      </c>
      <c r="E161" s="12">
        <f t="shared" ref="E161:E175" si="8">B161-D161</f>
        <v>17</v>
      </c>
      <c r="F161" s="26">
        <f t="shared" si="7"/>
        <v>0.45161290322580644</v>
      </c>
      <c r="G161" s="55"/>
    </row>
    <row r="162" spans="1:7" x14ac:dyDescent="0.35">
      <c r="A162" s="1" t="s">
        <v>228</v>
      </c>
      <c r="B162" s="3">
        <v>35</v>
      </c>
      <c r="C162" s="3"/>
      <c r="D162" s="4">
        <v>35</v>
      </c>
      <c r="E162" s="12">
        <f t="shared" si="8"/>
        <v>0</v>
      </c>
      <c r="F162" s="26">
        <f t="shared" si="7"/>
        <v>1</v>
      </c>
      <c r="G162" s="55"/>
    </row>
    <row r="163" spans="1:7" x14ac:dyDescent="0.35">
      <c r="A163" s="1" t="s">
        <v>229</v>
      </c>
      <c r="B163" s="3">
        <v>14</v>
      </c>
      <c r="C163" s="3"/>
      <c r="D163" s="4">
        <v>13</v>
      </c>
      <c r="E163" s="12">
        <f t="shared" si="8"/>
        <v>1</v>
      </c>
      <c r="F163" s="26">
        <f t="shared" si="7"/>
        <v>0.9285714285714286</v>
      </c>
      <c r="G163" s="55"/>
    </row>
    <row r="164" spans="1:7" x14ac:dyDescent="0.35">
      <c r="A164" s="1" t="s">
        <v>230</v>
      </c>
      <c r="B164" s="3">
        <v>30</v>
      </c>
      <c r="C164" s="3"/>
      <c r="D164" s="4">
        <v>30</v>
      </c>
      <c r="E164" s="12">
        <f t="shared" si="8"/>
        <v>0</v>
      </c>
      <c r="F164" s="26">
        <f t="shared" si="7"/>
        <v>1</v>
      </c>
      <c r="G164" s="55"/>
    </row>
    <row r="165" spans="1:7" x14ac:dyDescent="0.35">
      <c r="A165" s="1" t="s">
        <v>231</v>
      </c>
      <c r="B165" s="3">
        <v>19</v>
      </c>
      <c r="C165" s="3"/>
      <c r="D165" s="4">
        <v>18</v>
      </c>
      <c r="E165" s="12">
        <f t="shared" si="8"/>
        <v>1</v>
      </c>
      <c r="F165" s="26">
        <f t="shared" si="7"/>
        <v>0.94736842105263153</v>
      </c>
      <c r="G165" s="55"/>
    </row>
    <row r="166" spans="1:7" x14ac:dyDescent="0.35">
      <c r="A166" s="13" t="s">
        <v>88</v>
      </c>
      <c r="B166" s="6">
        <f>SUM(B161:B165)</f>
        <v>129</v>
      </c>
      <c r="C166" s="6"/>
      <c r="D166" s="6">
        <f>SUM(D161:D165)</f>
        <v>110</v>
      </c>
      <c r="E166" s="6">
        <f>SUM(E161:E165)</f>
        <v>19</v>
      </c>
      <c r="F166" s="30">
        <f t="shared" si="7"/>
        <v>0.8527131782945736</v>
      </c>
      <c r="G166" s="55"/>
    </row>
    <row r="167" spans="1:7" x14ac:dyDescent="0.35">
      <c r="A167" s="1" t="s">
        <v>232</v>
      </c>
      <c r="B167" s="3">
        <v>41</v>
      </c>
      <c r="C167" s="3"/>
      <c r="D167" s="4">
        <v>22</v>
      </c>
      <c r="E167" s="12">
        <f t="shared" si="8"/>
        <v>19</v>
      </c>
      <c r="F167" s="26">
        <f t="shared" si="7"/>
        <v>0.53658536585365857</v>
      </c>
      <c r="G167" s="55"/>
    </row>
    <row r="168" spans="1:7" x14ac:dyDescent="0.35">
      <c r="A168" s="1" t="s">
        <v>233</v>
      </c>
      <c r="B168" s="3">
        <v>38</v>
      </c>
      <c r="C168" s="3"/>
      <c r="D168" s="4">
        <v>12</v>
      </c>
      <c r="E168" s="12">
        <f t="shared" si="8"/>
        <v>26</v>
      </c>
      <c r="F168" s="26">
        <f t="shared" si="7"/>
        <v>0.31578947368421051</v>
      </c>
      <c r="G168" s="55"/>
    </row>
    <row r="169" spans="1:7" x14ac:dyDescent="0.35">
      <c r="A169" s="1" t="s">
        <v>234</v>
      </c>
      <c r="B169" s="3">
        <v>36</v>
      </c>
      <c r="C169" s="3"/>
      <c r="D169" s="4">
        <v>24</v>
      </c>
      <c r="E169" s="12">
        <f t="shared" si="8"/>
        <v>12</v>
      </c>
      <c r="F169" s="26">
        <f t="shared" si="7"/>
        <v>0.66666666666666663</v>
      </c>
      <c r="G169" s="55"/>
    </row>
    <row r="170" spans="1:7" x14ac:dyDescent="0.35">
      <c r="A170" s="1" t="s">
        <v>235</v>
      </c>
      <c r="B170" s="3">
        <v>12</v>
      </c>
      <c r="C170" s="3"/>
      <c r="D170" s="4">
        <v>6</v>
      </c>
      <c r="E170" s="12">
        <f t="shared" si="8"/>
        <v>6</v>
      </c>
      <c r="F170" s="26">
        <f t="shared" si="7"/>
        <v>0.5</v>
      </c>
      <c r="G170" s="55"/>
    </row>
    <row r="171" spans="1:7" x14ac:dyDescent="0.35">
      <c r="A171" s="13" t="s">
        <v>88</v>
      </c>
      <c r="B171" s="6">
        <f>SUM(B167:B170)</f>
        <v>127</v>
      </c>
      <c r="C171" s="6"/>
      <c r="D171" s="6">
        <f>SUM(D167:D170)</f>
        <v>64</v>
      </c>
      <c r="E171" s="6">
        <f>SUM(E167:E170)</f>
        <v>63</v>
      </c>
      <c r="F171" s="30">
        <f t="shared" si="7"/>
        <v>0.50393700787401574</v>
      </c>
      <c r="G171" s="55"/>
    </row>
    <row r="172" spans="1:7" x14ac:dyDescent="0.35">
      <c r="A172" s="1" t="s">
        <v>60</v>
      </c>
      <c r="B172" s="3">
        <v>45</v>
      </c>
      <c r="C172" s="3"/>
      <c r="D172" s="4">
        <v>44</v>
      </c>
      <c r="E172" s="12">
        <f t="shared" si="8"/>
        <v>1</v>
      </c>
      <c r="F172" s="26">
        <f t="shared" si="7"/>
        <v>0.97777777777777775</v>
      </c>
      <c r="G172" s="55"/>
    </row>
    <row r="173" spans="1:7" x14ac:dyDescent="0.35">
      <c r="A173" s="1" t="s">
        <v>236</v>
      </c>
      <c r="B173" s="3">
        <v>30</v>
      </c>
      <c r="C173" s="3"/>
      <c r="D173" s="4">
        <v>30</v>
      </c>
      <c r="E173" s="12">
        <f t="shared" si="8"/>
        <v>0</v>
      </c>
      <c r="F173" s="26">
        <f t="shared" si="7"/>
        <v>1</v>
      </c>
      <c r="G173" s="55"/>
    </row>
    <row r="174" spans="1:7" x14ac:dyDescent="0.35">
      <c r="A174" s="1" t="s">
        <v>58</v>
      </c>
      <c r="B174" s="3">
        <v>22</v>
      </c>
      <c r="C174" s="3"/>
      <c r="D174" s="4">
        <v>17</v>
      </c>
      <c r="E174" s="12">
        <f t="shared" si="8"/>
        <v>5</v>
      </c>
      <c r="F174" s="26">
        <f t="shared" si="7"/>
        <v>0.77272727272727271</v>
      </c>
      <c r="G174" s="55"/>
    </row>
    <row r="175" spans="1:7" x14ac:dyDescent="0.35">
      <c r="A175" s="1" t="s">
        <v>237</v>
      </c>
      <c r="B175" s="3">
        <v>16</v>
      </c>
      <c r="C175" s="3"/>
      <c r="D175" s="4">
        <v>16</v>
      </c>
      <c r="E175" s="12">
        <f t="shared" si="8"/>
        <v>0</v>
      </c>
      <c r="F175" s="26">
        <f t="shared" si="7"/>
        <v>1</v>
      </c>
      <c r="G175" s="55"/>
    </row>
    <row r="176" spans="1:7" x14ac:dyDescent="0.35">
      <c r="A176" s="13" t="s">
        <v>88</v>
      </c>
      <c r="B176" s="6">
        <f>SUM(B172:B175)</f>
        <v>113</v>
      </c>
      <c r="C176" s="6"/>
      <c r="D176" s="6">
        <f>SUM(D172:D175)</f>
        <v>107</v>
      </c>
      <c r="E176" s="6">
        <f>SUM(E172:E175)</f>
        <v>6</v>
      </c>
      <c r="F176" s="30">
        <f t="shared" si="7"/>
        <v>0.94690265486725667</v>
      </c>
      <c r="G176" s="55"/>
    </row>
    <row r="177" spans="1:7" x14ac:dyDescent="0.35">
      <c r="A177" s="1" t="s">
        <v>66</v>
      </c>
      <c r="B177" s="3">
        <v>32</v>
      </c>
      <c r="C177" s="3"/>
      <c r="D177" s="4">
        <v>27</v>
      </c>
      <c r="E177" s="12">
        <f>B177-D177</f>
        <v>5</v>
      </c>
      <c r="F177" s="26">
        <f t="shared" si="7"/>
        <v>0.84375</v>
      </c>
      <c r="G177" s="55"/>
    </row>
    <row r="178" spans="1:7" x14ac:dyDescent="0.35">
      <c r="A178" s="1" t="s">
        <v>238</v>
      </c>
      <c r="B178" s="3">
        <v>12</v>
      </c>
      <c r="C178" s="3"/>
      <c r="D178" s="4">
        <v>9</v>
      </c>
      <c r="E178" s="12">
        <f>B178-D178</f>
        <v>3</v>
      </c>
      <c r="F178" s="26">
        <f t="shared" si="7"/>
        <v>0.75</v>
      </c>
      <c r="G178" s="55"/>
    </row>
    <row r="179" spans="1:7" x14ac:dyDescent="0.35">
      <c r="A179" s="1" t="s">
        <v>239</v>
      </c>
      <c r="B179" s="3">
        <v>15</v>
      </c>
      <c r="C179" s="3"/>
      <c r="D179" s="4">
        <v>7</v>
      </c>
      <c r="E179" s="12">
        <f>B179-D179</f>
        <v>8</v>
      </c>
      <c r="F179" s="26">
        <f t="shared" si="7"/>
        <v>0.46666666666666667</v>
      </c>
      <c r="G179" s="55"/>
    </row>
    <row r="180" spans="1:7" x14ac:dyDescent="0.35">
      <c r="A180" s="1" t="s">
        <v>240</v>
      </c>
      <c r="B180" s="3">
        <v>9</v>
      </c>
      <c r="C180" s="3"/>
      <c r="D180" s="4">
        <v>3</v>
      </c>
      <c r="E180" s="12">
        <f>B180-D180</f>
        <v>6</v>
      </c>
      <c r="F180" s="26">
        <f t="shared" si="7"/>
        <v>0.33333333333333331</v>
      </c>
      <c r="G180" s="55"/>
    </row>
    <row r="181" spans="1:7" x14ac:dyDescent="0.35">
      <c r="A181" s="1" t="s">
        <v>241</v>
      </c>
      <c r="B181" s="3">
        <v>14</v>
      </c>
      <c r="C181" s="3"/>
      <c r="D181" s="4">
        <v>11</v>
      </c>
      <c r="E181" s="12">
        <f>B181-D181</f>
        <v>3</v>
      </c>
      <c r="F181" s="26">
        <f t="shared" si="7"/>
        <v>0.7857142857142857</v>
      </c>
      <c r="G181" s="55"/>
    </row>
    <row r="182" spans="1:7" x14ac:dyDescent="0.35">
      <c r="A182" s="13" t="s">
        <v>88</v>
      </c>
      <c r="B182" s="6">
        <f>SUM(B177:B181)</f>
        <v>82</v>
      </c>
      <c r="C182" s="6"/>
      <c r="D182" s="6">
        <f>SUM(D177:D181)</f>
        <v>57</v>
      </c>
      <c r="E182" s="6">
        <f>SUM(E177:E181)</f>
        <v>25</v>
      </c>
      <c r="F182" s="30">
        <f t="shared" si="7"/>
        <v>0.69512195121951215</v>
      </c>
      <c r="G182" s="55"/>
    </row>
    <row r="183" spans="1:7" x14ac:dyDescent="0.35">
      <c r="A183" s="1" t="s">
        <v>242</v>
      </c>
      <c r="B183" s="3">
        <v>31</v>
      </c>
      <c r="C183" s="3"/>
      <c r="D183" s="4">
        <v>30</v>
      </c>
      <c r="E183" s="12">
        <f>B183-D183</f>
        <v>1</v>
      </c>
      <c r="F183" s="26">
        <f t="shared" si="7"/>
        <v>0.967741935483871</v>
      </c>
      <c r="G183" s="55"/>
    </row>
    <row r="184" spans="1:7" x14ac:dyDescent="0.35">
      <c r="A184" s="1" t="s">
        <v>243</v>
      </c>
      <c r="B184" s="3">
        <v>31</v>
      </c>
      <c r="C184" s="3"/>
      <c r="D184" s="4">
        <v>31</v>
      </c>
      <c r="E184" s="12">
        <f>B184-D184</f>
        <v>0</v>
      </c>
      <c r="F184" s="26">
        <f t="shared" si="7"/>
        <v>1</v>
      </c>
      <c r="G184" s="55"/>
    </row>
    <row r="185" spans="1:7" x14ac:dyDescent="0.35">
      <c r="A185" s="1" t="s">
        <v>244</v>
      </c>
      <c r="B185" s="3">
        <v>39</v>
      </c>
      <c r="C185" s="3"/>
      <c r="D185" s="4">
        <v>35</v>
      </c>
      <c r="E185" s="12">
        <f>B185-D185</f>
        <v>4</v>
      </c>
      <c r="F185" s="26">
        <f t="shared" si="7"/>
        <v>0.89743589743589747</v>
      </c>
      <c r="G185" s="55"/>
    </row>
    <row r="186" spans="1:7" x14ac:dyDescent="0.35">
      <c r="A186" s="1" t="s">
        <v>245</v>
      </c>
      <c r="B186" s="3">
        <v>16</v>
      </c>
      <c r="C186" s="3"/>
      <c r="D186" s="4">
        <v>16</v>
      </c>
      <c r="E186" s="12">
        <f>B186-D186</f>
        <v>0</v>
      </c>
      <c r="F186" s="26">
        <f t="shared" si="7"/>
        <v>1</v>
      </c>
      <c r="G186" s="55"/>
    </row>
    <row r="187" spans="1:7" x14ac:dyDescent="0.35">
      <c r="A187" s="13" t="s">
        <v>88</v>
      </c>
      <c r="B187" s="6">
        <f>SUM(B183:B186)</f>
        <v>117</v>
      </c>
      <c r="C187" s="6"/>
      <c r="D187" s="6">
        <f>SUM(D183:D186)</f>
        <v>112</v>
      </c>
      <c r="E187" s="6">
        <f>SUM(E183:E186)</f>
        <v>5</v>
      </c>
      <c r="F187" s="30">
        <f t="shared" si="7"/>
        <v>0.95726495726495731</v>
      </c>
      <c r="G187" s="55"/>
    </row>
    <row r="188" spans="1:7" x14ac:dyDescent="0.35">
      <c r="A188" s="13" t="s">
        <v>227</v>
      </c>
      <c r="B188" s="6">
        <f>SUM(B166,B171,B176,B182,B187)</f>
        <v>568</v>
      </c>
      <c r="C188" s="6"/>
      <c r="D188" s="6">
        <f>SUM(D166,D171,D176,D182,D187)</f>
        <v>450</v>
      </c>
      <c r="E188" s="6">
        <f>SUM(E166,E171,E176,E182,E187)</f>
        <v>118</v>
      </c>
      <c r="F188" s="30">
        <f t="shared" si="7"/>
        <v>0.79225352112676062</v>
      </c>
      <c r="G188" s="55"/>
    </row>
    <row r="189" spans="1:7" x14ac:dyDescent="0.35">
      <c r="A189" s="1" t="s">
        <v>247</v>
      </c>
      <c r="B189" s="3">
        <v>32</v>
      </c>
      <c r="C189" s="3"/>
      <c r="D189" s="4">
        <v>29</v>
      </c>
      <c r="E189" s="12">
        <f t="shared" ref="E189:E194" si="9">B189-D189</f>
        <v>3</v>
      </c>
      <c r="F189" s="26">
        <f t="shared" si="7"/>
        <v>0.90625</v>
      </c>
      <c r="G189" s="55"/>
    </row>
    <row r="190" spans="1:7" x14ac:dyDescent="0.35">
      <c r="A190" s="1" t="s">
        <v>248</v>
      </c>
      <c r="B190" s="3">
        <v>19</v>
      </c>
      <c r="C190" s="3"/>
      <c r="D190" s="4">
        <v>18</v>
      </c>
      <c r="E190" s="12">
        <f t="shared" si="9"/>
        <v>1</v>
      </c>
      <c r="F190" s="26">
        <f t="shared" si="7"/>
        <v>0.94736842105263153</v>
      </c>
      <c r="G190" s="55"/>
    </row>
    <row r="191" spans="1:7" x14ac:dyDescent="0.35">
      <c r="A191" s="1" t="s">
        <v>70</v>
      </c>
      <c r="B191" s="3">
        <v>25</v>
      </c>
      <c r="C191" s="3"/>
      <c r="D191" s="4">
        <v>16</v>
      </c>
      <c r="E191" s="12">
        <f t="shared" si="9"/>
        <v>9</v>
      </c>
      <c r="F191" s="26">
        <f t="shared" si="7"/>
        <v>0.64</v>
      </c>
      <c r="G191" s="55"/>
    </row>
    <row r="192" spans="1:7" x14ac:dyDescent="0.35">
      <c r="A192" s="1" t="s">
        <v>249</v>
      </c>
      <c r="B192" s="3">
        <v>19</v>
      </c>
      <c r="C192" s="3"/>
      <c r="D192" s="4">
        <v>10</v>
      </c>
      <c r="E192" s="12">
        <f t="shared" si="9"/>
        <v>9</v>
      </c>
      <c r="F192" s="26">
        <f t="shared" si="7"/>
        <v>0.52631578947368418</v>
      </c>
      <c r="G192" s="55"/>
    </row>
    <row r="193" spans="1:7" x14ac:dyDescent="0.35">
      <c r="A193" s="1" t="s">
        <v>250</v>
      </c>
      <c r="B193" s="3" t="s">
        <v>251</v>
      </c>
      <c r="C193" s="3">
        <v>21</v>
      </c>
      <c r="D193" s="4">
        <v>21</v>
      </c>
      <c r="E193" s="12">
        <f>C193-D193</f>
        <v>0</v>
      </c>
      <c r="F193" s="26">
        <f>D193/C193</f>
        <v>1</v>
      </c>
      <c r="G193" s="55"/>
    </row>
    <row r="194" spans="1:7" x14ac:dyDescent="0.35">
      <c r="A194" s="1" t="s">
        <v>252</v>
      </c>
      <c r="B194" s="3">
        <v>11</v>
      </c>
      <c r="C194" s="3"/>
      <c r="D194" s="4">
        <v>10</v>
      </c>
      <c r="E194" s="12">
        <f t="shared" si="9"/>
        <v>1</v>
      </c>
      <c r="F194" s="26">
        <f t="shared" si="7"/>
        <v>0.90909090909090906</v>
      </c>
      <c r="G194" s="55"/>
    </row>
    <row r="195" spans="1:7" x14ac:dyDescent="0.35">
      <c r="A195" s="13" t="s">
        <v>88</v>
      </c>
      <c r="B195" s="15">
        <f>SUM(B189:B192)+21+11</f>
        <v>127</v>
      </c>
      <c r="C195" s="15"/>
      <c r="D195" s="15">
        <f>SUM(D189:D194)</f>
        <v>104</v>
      </c>
      <c r="E195" s="15">
        <f>SUM(E189:E194)</f>
        <v>23</v>
      </c>
      <c r="F195" s="30">
        <f t="shared" ref="F195:F258" si="10">D195/B195</f>
        <v>0.81889763779527558</v>
      </c>
      <c r="G195" s="56"/>
    </row>
    <row r="196" spans="1:7" x14ac:dyDescent="0.35">
      <c r="A196" s="1" t="s">
        <v>72</v>
      </c>
      <c r="B196" s="3">
        <v>34</v>
      </c>
      <c r="C196" s="3"/>
      <c r="D196" s="4">
        <v>33</v>
      </c>
      <c r="E196" s="12">
        <f t="shared" ref="E196:E201" si="11">B196-D196</f>
        <v>1</v>
      </c>
      <c r="F196" s="26">
        <f t="shared" si="10"/>
        <v>0.97058823529411764</v>
      </c>
      <c r="G196" s="55"/>
    </row>
    <row r="197" spans="1:7" x14ac:dyDescent="0.35">
      <c r="A197" s="1" t="s">
        <v>253</v>
      </c>
      <c r="B197" s="3">
        <v>32</v>
      </c>
      <c r="C197" s="3"/>
      <c r="D197" s="4">
        <v>29</v>
      </c>
      <c r="E197" s="12">
        <f t="shared" si="11"/>
        <v>3</v>
      </c>
      <c r="F197" s="26">
        <f t="shared" si="10"/>
        <v>0.90625</v>
      </c>
      <c r="G197" s="55"/>
    </row>
    <row r="198" spans="1:7" x14ac:dyDescent="0.35">
      <c r="A198" s="1" t="s">
        <v>96</v>
      </c>
      <c r="B198" s="3">
        <v>31</v>
      </c>
      <c r="C198" s="3"/>
      <c r="D198" s="4">
        <v>30</v>
      </c>
      <c r="E198" s="12">
        <f t="shared" si="11"/>
        <v>1</v>
      </c>
      <c r="F198" s="26">
        <f t="shared" si="10"/>
        <v>0.967741935483871</v>
      </c>
      <c r="G198" s="55"/>
    </row>
    <row r="199" spans="1:7" x14ac:dyDescent="0.35">
      <c r="A199" s="1" t="s">
        <v>73</v>
      </c>
      <c r="B199" s="3">
        <v>29</v>
      </c>
      <c r="C199" s="3"/>
      <c r="D199" s="4">
        <v>25</v>
      </c>
      <c r="E199" s="12">
        <f t="shared" si="11"/>
        <v>4</v>
      </c>
      <c r="F199" s="26">
        <f t="shared" si="10"/>
        <v>0.86206896551724133</v>
      </c>
      <c r="G199" s="55"/>
    </row>
    <row r="200" spans="1:7" x14ac:dyDescent="0.35">
      <c r="A200" s="1" t="s">
        <v>254</v>
      </c>
      <c r="B200" s="3">
        <v>8</v>
      </c>
      <c r="C200" s="3"/>
      <c r="D200" s="4">
        <v>8</v>
      </c>
      <c r="E200" s="12">
        <f t="shared" si="11"/>
        <v>0</v>
      </c>
      <c r="F200" s="26">
        <f t="shared" si="10"/>
        <v>1</v>
      </c>
      <c r="G200" s="55"/>
    </row>
    <row r="201" spans="1:7" x14ac:dyDescent="0.35">
      <c r="A201" s="1" t="s">
        <v>255</v>
      </c>
      <c r="B201" s="3">
        <v>9</v>
      </c>
      <c r="C201" s="3"/>
      <c r="D201" s="4">
        <v>9</v>
      </c>
      <c r="E201" s="12">
        <f t="shared" si="11"/>
        <v>0</v>
      </c>
      <c r="F201" s="26">
        <f t="shared" si="10"/>
        <v>1</v>
      </c>
      <c r="G201" s="55"/>
    </row>
    <row r="202" spans="1:7" x14ac:dyDescent="0.35">
      <c r="A202" s="13" t="s">
        <v>88</v>
      </c>
      <c r="B202" s="15">
        <f>SUM(B196:B201)</f>
        <v>143</v>
      </c>
      <c r="C202" s="15"/>
      <c r="D202" s="15">
        <f>SUM(D196:D201)</f>
        <v>134</v>
      </c>
      <c r="E202" s="15">
        <f>SUM(E196:E201)</f>
        <v>9</v>
      </c>
      <c r="F202" s="30">
        <f t="shared" si="10"/>
        <v>0.93706293706293708</v>
      </c>
      <c r="G202" s="56"/>
    </row>
    <row r="203" spans="1:7" x14ac:dyDescent="0.35">
      <c r="A203" s="1" t="s">
        <v>95</v>
      </c>
      <c r="B203" s="3">
        <v>45</v>
      </c>
      <c r="C203" s="3"/>
      <c r="D203" s="4">
        <v>42</v>
      </c>
      <c r="E203" s="12">
        <f>B203-D203</f>
        <v>3</v>
      </c>
      <c r="F203" s="26">
        <f t="shared" si="10"/>
        <v>0.93333333333333335</v>
      </c>
      <c r="G203" s="55"/>
    </row>
    <row r="204" spans="1:7" x14ac:dyDescent="0.35">
      <c r="A204" s="1" t="s">
        <v>69</v>
      </c>
      <c r="B204" s="3">
        <v>33</v>
      </c>
      <c r="C204" s="3"/>
      <c r="D204" s="4">
        <v>28</v>
      </c>
      <c r="E204" s="12">
        <f>B204-D204</f>
        <v>5</v>
      </c>
      <c r="F204" s="26">
        <f t="shared" si="10"/>
        <v>0.84848484848484851</v>
      </c>
      <c r="G204" s="55"/>
    </row>
    <row r="205" spans="1:7" x14ac:dyDescent="0.35">
      <c r="A205" s="13" t="s">
        <v>88</v>
      </c>
      <c r="B205" s="15">
        <f>SUM(B203:B204)</f>
        <v>78</v>
      </c>
      <c r="C205" s="15"/>
      <c r="D205" s="15">
        <f>SUM(D203:D204)</f>
        <v>70</v>
      </c>
      <c r="E205" s="15">
        <f>SUM(E203:E204)</f>
        <v>8</v>
      </c>
      <c r="F205" s="30">
        <f t="shared" si="10"/>
        <v>0.89743589743589747</v>
      </c>
      <c r="G205" s="56"/>
    </row>
    <row r="206" spans="1:7" x14ac:dyDescent="0.35">
      <c r="A206" s="1" t="s">
        <v>94</v>
      </c>
      <c r="B206" s="3">
        <v>38</v>
      </c>
      <c r="C206" s="3"/>
      <c r="D206" s="4">
        <v>37</v>
      </c>
      <c r="E206" s="12">
        <f>B206-D206</f>
        <v>1</v>
      </c>
      <c r="F206" s="26">
        <f t="shared" si="10"/>
        <v>0.97368421052631582</v>
      </c>
      <c r="G206" s="55"/>
    </row>
    <row r="207" spans="1:7" x14ac:dyDescent="0.35">
      <c r="A207" s="1" t="s">
        <v>256</v>
      </c>
      <c r="B207" s="3">
        <v>14</v>
      </c>
      <c r="C207" s="3"/>
      <c r="D207" s="4">
        <v>13</v>
      </c>
      <c r="E207" s="12">
        <f>B207-D207</f>
        <v>1</v>
      </c>
      <c r="F207" s="26">
        <f t="shared" si="10"/>
        <v>0.9285714285714286</v>
      </c>
      <c r="G207" s="55"/>
    </row>
    <row r="208" spans="1:7" x14ac:dyDescent="0.35">
      <c r="A208" s="13" t="s">
        <v>88</v>
      </c>
      <c r="B208" s="15">
        <f>SUM(B206:B207)</f>
        <v>52</v>
      </c>
      <c r="C208" s="15"/>
      <c r="D208" s="15">
        <f>SUM(D206:D207)</f>
        <v>50</v>
      </c>
      <c r="E208" s="15">
        <f>SUM(E206:E207)</f>
        <v>2</v>
      </c>
      <c r="F208" s="30">
        <f t="shared" si="10"/>
        <v>0.96153846153846156</v>
      </c>
      <c r="G208" s="56"/>
    </row>
    <row r="209" spans="1:7" x14ac:dyDescent="0.35">
      <c r="A209" s="13" t="s">
        <v>246</v>
      </c>
      <c r="B209" s="15">
        <f>SUM(B195,B202,B205,B208)</f>
        <v>400</v>
      </c>
      <c r="C209" s="15"/>
      <c r="D209" s="15">
        <f>SUM(D195,D202,D205,D208)</f>
        <v>358</v>
      </c>
      <c r="E209" s="15">
        <f>SUM(E195,E202,E205,E208)</f>
        <v>42</v>
      </c>
      <c r="F209" s="30">
        <f t="shared" si="10"/>
        <v>0.89500000000000002</v>
      </c>
      <c r="G209" s="56"/>
    </row>
    <row r="210" spans="1:7" x14ac:dyDescent="0.35">
      <c r="A210" s="1" t="s">
        <v>258</v>
      </c>
      <c r="B210" s="3">
        <v>26</v>
      </c>
      <c r="C210" s="3"/>
      <c r="D210" s="4">
        <v>25</v>
      </c>
      <c r="E210" s="12">
        <f>B210-D210</f>
        <v>1</v>
      </c>
      <c r="F210" s="26">
        <f t="shared" si="10"/>
        <v>0.96153846153846156</v>
      </c>
      <c r="G210" s="55"/>
    </row>
    <row r="211" spans="1:7" x14ac:dyDescent="0.35">
      <c r="A211" s="1" t="s">
        <v>51</v>
      </c>
      <c r="B211" s="3">
        <v>41</v>
      </c>
      <c r="C211" s="3"/>
      <c r="D211" s="4">
        <v>29</v>
      </c>
      <c r="E211" s="12">
        <f>B211-D211</f>
        <v>12</v>
      </c>
      <c r="F211" s="26">
        <f t="shared" si="10"/>
        <v>0.70731707317073167</v>
      </c>
      <c r="G211" s="55"/>
    </row>
    <row r="212" spans="1:7" x14ac:dyDescent="0.35">
      <c r="A212" s="1" t="s">
        <v>259</v>
      </c>
      <c r="B212" s="3" t="s">
        <v>260</v>
      </c>
      <c r="C212" s="3">
        <v>52</v>
      </c>
      <c r="D212" s="4">
        <v>39</v>
      </c>
      <c r="E212" s="12">
        <f>C212-D212</f>
        <v>13</v>
      </c>
      <c r="F212" s="26">
        <f>D212/C212</f>
        <v>0.75</v>
      </c>
      <c r="G212" s="55"/>
    </row>
    <row r="213" spans="1:7" x14ac:dyDescent="0.35">
      <c r="A213" s="1" t="s">
        <v>52</v>
      </c>
      <c r="B213" s="3">
        <v>35</v>
      </c>
      <c r="C213" s="3"/>
      <c r="D213" s="4">
        <v>14</v>
      </c>
      <c r="E213" s="12">
        <f>B213-D213</f>
        <v>21</v>
      </c>
      <c r="F213" s="26">
        <f t="shared" si="10"/>
        <v>0.4</v>
      </c>
      <c r="G213" s="55"/>
    </row>
    <row r="214" spans="1:7" x14ac:dyDescent="0.35">
      <c r="A214" s="13" t="s">
        <v>88</v>
      </c>
      <c r="B214" s="6">
        <f>26+41+52+35</f>
        <v>154</v>
      </c>
      <c r="C214" s="6"/>
      <c r="D214" s="6">
        <f>SUM(D210:D213)</f>
        <v>107</v>
      </c>
      <c r="E214" s="6">
        <f>SUM(E210:E213)</f>
        <v>47</v>
      </c>
      <c r="F214" s="30">
        <f t="shared" si="10"/>
        <v>0.69480519480519476</v>
      </c>
      <c r="G214" s="55"/>
    </row>
    <row r="215" spans="1:7" x14ac:dyDescent="0.35">
      <c r="A215" s="1" t="s">
        <v>261</v>
      </c>
      <c r="B215" s="3">
        <v>14</v>
      </c>
      <c r="C215" s="3"/>
      <c r="D215" s="4">
        <v>9</v>
      </c>
      <c r="E215" s="12">
        <f>B215-D215</f>
        <v>5</v>
      </c>
      <c r="F215" s="26">
        <f t="shared" si="10"/>
        <v>0.6428571428571429</v>
      </c>
      <c r="G215" s="55"/>
    </row>
    <row r="216" spans="1:7" x14ac:dyDescent="0.35">
      <c r="A216" s="1" t="s">
        <v>262</v>
      </c>
      <c r="B216" s="3">
        <v>14</v>
      </c>
      <c r="C216" s="3"/>
      <c r="D216" s="4">
        <v>14</v>
      </c>
      <c r="E216" s="12">
        <f>B216-D216</f>
        <v>0</v>
      </c>
      <c r="F216" s="26">
        <f t="shared" si="10"/>
        <v>1</v>
      </c>
      <c r="G216" s="55"/>
    </row>
    <row r="217" spans="1:7" x14ac:dyDescent="0.35">
      <c r="A217" s="1" t="s">
        <v>263</v>
      </c>
      <c r="B217" s="3">
        <v>35</v>
      </c>
      <c r="C217" s="3"/>
      <c r="D217" s="4">
        <v>29</v>
      </c>
      <c r="E217" s="12">
        <f>B217-D217</f>
        <v>6</v>
      </c>
      <c r="F217" s="26">
        <f t="shared" si="10"/>
        <v>0.82857142857142863</v>
      </c>
      <c r="G217" s="55"/>
    </row>
    <row r="218" spans="1:7" x14ac:dyDescent="0.35">
      <c r="A218" s="1" t="s">
        <v>264</v>
      </c>
      <c r="B218" s="3">
        <v>20</v>
      </c>
      <c r="C218" s="3"/>
      <c r="D218" s="4">
        <v>16</v>
      </c>
      <c r="E218" s="12">
        <f>B218-D218</f>
        <v>4</v>
      </c>
      <c r="F218" s="26">
        <f t="shared" si="10"/>
        <v>0.8</v>
      </c>
      <c r="G218" s="55"/>
    </row>
    <row r="219" spans="1:7" x14ac:dyDescent="0.35">
      <c r="A219" s="1" t="s">
        <v>265</v>
      </c>
      <c r="B219" s="3">
        <v>19</v>
      </c>
      <c r="C219" s="3"/>
      <c r="D219" s="4">
        <v>9</v>
      </c>
      <c r="E219" s="12">
        <f>B219-D219</f>
        <v>10</v>
      </c>
      <c r="F219" s="26">
        <f t="shared" si="10"/>
        <v>0.47368421052631576</v>
      </c>
      <c r="G219" s="55"/>
    </row>
    <row r="220" spans="1:7" x14ac:dyDescent="0.35">
      <c r="A220" s="13" t="s">
        <v>88</v>
      </c>
      <c r="B220" s="6">
        <f>SUM(B215:B219)</f>
        <v>102</v>
      </c>
      <c r="C220" s="6"/>
      <c r="D220" s="6">
        <f>SUM(D215:D219)</f>
        <v>77</v>
      </c>
      <c r="E220" s="6">
        <f>SUM(E215:E219)</f>
        <v>25</v>
      </c>
      <c r="F220" s="30">
        <f t="shared" si="10"/>
        <v>0.75490196078431371</v>
      </c>
      <c r="G220" s="55"/>
    </row>
    <row r="221" spans="1:7" x14ac:dyDescent="0.35">
      <c r="A221" s="1" t="s">
        <v>266</v>
      </c>
      <c r="B221" s="3">
        <v>9</v>
      </c>
      <c r="C221" s="3"/>
      <c r="D221" s="4">
        <v>8</v>
      </c>
      <c r="E221" s="12">
        <f t="shared" ref="E221:E228" si="12">B221-D221</f>
        <v>1</v>
      </c>
      <c r="F221" s="26">
        <f t="shared" si="10"/>
        <v>0.88888888888888884</v>
      </c>
      <c r="G221" s="55"/>
    </row>
    <row r="222" spans="1:7" x14ac:dyDescent="0.35">
      <c r="A222" s="1" t="s">
        <v>267</v>
      </c>
      <c r="B222" s="3" t="s">
        <v>268</v>
      </c>
      <c r="C222" s="3">
        <v>15</v>
      </c>
      <c r="D222" s="4">
        <v>14</v>
      </c>
      <c r="E222" s="12">
        <f>C222-D222</f>
        <v>1</v>
      </c>
      <c r="F222" s="26">
        <f>D222/C222</f>
        <v>0.93333333333333335</v>
      </c>
      <c r="G222" s="55"/>
    </row>
    <row r="223" spans="1:7" x14ac:dyDescent="0.35">
      <c r="A223" s="1" t="s">
        <v>269</v>
      </c>
      <c r="B223" s="3">
        <v>24</v>
      </c>
      <c r="C223" s="3"/>
      <c r="D223" s="4">
        <v>10</v>
      </c>
      <c r="E223" s="12">
        <f t="shared" si="12"/>
        <v>14</v>
      </c>
      <c r="F223" s="26">
        <f t="shared" si="10"/>
        <v>0.41666666666666669</v>
      </c>
      <c r="G223" s="55"/>
    </row>
    <row r="224" spans="1:7" x14ac:dyDescent="0.35">
      <c r="A224" s="1" t="s">
        <v>270</v>
      </c>
      <c r="B224" s="3">
        <v>15</v>
      </c>
      <c r="C224" s="3"/>
      <c r="D224" s="4">
        <v>6</v>
      </c>
      <c r="E224" s="12">
        <f t="shared" si="12"/>
        <v>9</v>
      </c>
      <c r="F224" s="26">
        <f t="shared" si="10"/>
        <v>0.4</v>
      </c>
      <c r="G224" s="55"/>
    </row>
    <row r="225" spans="1:7" x14ac:dyDescent="0.35">
      <c r="A225" s="13" t="s">
        <v>88</v>
      </c>
      <c r="B225" s="6">
        <f>9+15+24+15</f>
        <v>63</v>
      </c>
      <c r="C225" s="6"/>
      <c r="D225" s="6">
        <f>SUM(D221:D224)</f>
        <v>38</v>
      </c>
      <c r="E225" s="6">
        <f>SUM(E221:E224)</f>
        <v>25</v>
      </c>
      <c r="F225" s="30">
        <f t="shared" si="10"/>
        <v>0.60317460317460314</v>
      </c>
      <c r="G225" s="55"/>
    </row>
    <row r="226" spans="1:7" x14ac:dyDescent="0.35">
      <c r="A226" s="1" t="s">
        <v>271</v>
      </c>
      <c r="B226" s="3">
        <v>39</v>
      </c>
      <c r="C226" s="3"/>
      <c r="D226" s="4">
        <v>22</v>
      </c>
      <c r="E226" s="12">
        <f t="shared" si="12"/>
        <v>17</v>
      </c>
      <c r="F226" s="26">
        <f t="shared" si="10"/>
        <v>0.5641025641025641</v>
      </c>
      <c r="G226" s="55"/>
    </row>
    <row r="227" spans="1:7" x14ac:dyDescent="0.35">
      <c r="A227" s="1" t="s">
        <v>272</v>
      </c>
      <c r="B227" s="3">
        <v>11</v>
      </c>
      <c r="C227" s="3"/>
      <c r="D227" s="4">
        <v>11</v>
      </c>
      <c r="E227" s="12">
        <f t="shared" si="12"/>
        <v>0</v>
      </c>
      <c r="F227" s="26">
        <f t="shared" si="10"/>
        <v>1</v>
      </c>
      <c r="G227" s="55"/>
    </row>
    <row r="228" spans="1:7" x14ac:dyDescent="0.35">
      <c r="A228" s="1" t="s">
        <v>273</v>
      </c>
      <c r="B228" s="3">
        <v>34</v>
      </c>
      <c r="C228" s="3"/>
      <c r="D228" s="4">
        <v>20</v>
      </c>
      <c r="E228" s="12">
        <f t="shared" si="12"/>
        <v>14</v>
      </c>
      <c r="F228" s="26">
        <f t="shared" si="10"/>
        <v>0.58823529411764708</v>
      </c>
      <c r="G228" s="55"/>
    </row>
    <row r="229" spans="1:7" x14ac:dyDescent="0.35">
      <c r="A229" s="13" t="s">
        <v>88</v>
      </c>
      <c r="B229" s="6">
        <f>SUM(B226:B228)</f>
        <v>84</v>
      </c>
      <c r="C229" s="6"/>
      <c r="D229" s="6">
        <f>SUM(D226:D228)</f>
        <v>53</v>
      </c>
      <c r="E229" s="6">
        <f>SUM(E226:E228)</f>
        <v>31</v>
      </c>
      <c r="F229" s="30">
        <f t="shared" si="10"/>
        <v>0.63095238095238093</v>
      </c>
      <c r="G229" s="55"/>
    </row>
    <row r="230" spans="1:7" x14ac:dyDescent="0.35">
      <c r="A230" s="13" t="s">
        <v>257</v>
      </c>
      <c r="B230" s="6">
        <f>SUM(B214,B220,B225,B229)</f>
        <v>403</v>
      </c>
      <c r="C230" s="6"/>
      <c r="D230" s="6">
        <f>SUM(D214,D220,D225,D229)</f>
        <v>275</v>
      </c>
      <c r="E230" s="6">
        <f>SUM(E214,E220,E225,E229)</f>
        <v>128</v>
      </c>
      <c r="F230" s="30">
        <f t="shared" si="10"/>
        <v>0.68238213399503722</v>
      </c>
      <c r="G230" s="55"/>
    </row>
    <row r="231" spans="1:7" x14ac:dyDescent="0.35">
      <c r="A231" s="1" t="s">
        <v>275</v>
      </c>
      <c r="B231" s="3">
        <v>17</v>
      </c>
      <c r="C231" s="3"/>
      <c r="D231" s="4">
        <v>2</v>
      </c>
      <c r="E231" s="12">
        <f>B231-D231</f>
        <v>15</v>
      </c>
      <c r="F231" s="26">
        <f t="shared" si="10"/>
        <v>0.11764705882352941</v>
      </c>
      <c r="G231" s="55"/>
    </row>
    <row r="232" spans="1:7" x14ac:dyDescent="0.35">
      <c r="A232" s="1" t="s">
        <v>276</v>
      </c>
      <c r="B232" s="3">
        <v>10</v>
      </c>
      <c r="C232" s="3"/>
      <c r="D232" s="4">
        <v>1</v>
      </c>
      <c r="E232" s="12">
        <f>B232-D232</f>
        <v>9</v>
      </c>
      <c r="F232" s="26">
        <f t="shared" si="10"/>
        <v>0.1</v>
      </c>
      <c r="G232" s="55"/>
    </row>
    <row r="233" spans="1:7" x14ac:dyDescent="0.35">
      <c r="A233" s="1" t="s">
        <v>277</v>
      </c>
      <c r="B233" s="3" t="s">
        <v>278</v>
      </c>
      <c r="C233" s="3">
        <v>13</v>
      </c>
      <c r="D233" s="4">
        <v>4</v>
      </c>
      <c r="E233" s="12">
        <f>C233-D233</f>
        <v>9</v>
      </c>
      <c r="F233" s="26">
        <f>D233/C233</f>
        <v>0.30769230769230771</v>
      </c>
      <c r="G233" s="55"/>
    </row>
    <row r="234" spans="1:7" x14ac:dyDescent="0.35">
      <c r="A234" s="13" t="s">
        <v>88</v>
      </c>
      <c r="B234" s="6">
        <f>17+10+13</f>
        <v>40</v>
      </c>
      <c r="C234" s="6"/>
      <c r="D234" s="6">
        <f>SUM(D231:D233)</f>
        <v>7</v>
      </c>
      <c r="E234" s="6">
        <f>SUM(E231:E233)</f>
        <v>33</v>
      </c>
      <c r="F234" s="30">
        <f t="shared" si="10"/>
        <v>0.17499999999999999</v>
      </c>
      <c r="G234" s="55"/>
    </row>
    <row r="235" spans="1:7" x14ac:dyDescent="0.35">
      <c r="A235" s="1" t="s">
        <v>279</v>
      </c>
      <c r="B235" s="3" t="s">
        <v>326</v>
      </c>
      <c r="C235" s="3">
        <v>19</v>
      </c>
      <c r="D235" s="4">
        <v>7</v>
      </c>
      <c r="E235" s="12">
        <f>C235-D235</f>
        <v>12</v>
      </c>
      <c r="F235" s="26">
        <f>D235/C235</f>
        <v>0.36842105263157893</v>
      </c>
      <c r="G235" s="55"/>
    </row>
    <row r="236" spans="1:7" x14ac:dyDescent="0.35">
      <c r="A236" s="1" t="s">
        <v>280</v>
      </c>
      <c r="B236" s="3" t="s">
        <v>281</v>
      </c>
      <c r="C236" s="3">
        <v>12</v>
      </c>
      <c r="D236" s="4">
        <v>3</v>
      </c>
      <c r="E236" s="12">
        <f>C236-D236</f>
        <v>9</v>
      </c>
      <c r="F236" s="26">
        <f>D236/C236</f>
        <v>0.25</v>
      </c>
      <c r="G236" s="55"/>
    </row>
    <row r="237" spans="1:7" x14ac:dyDescent="0.35">
      <c r="A237" s="1" t="s">
        <v>407</v>
      </c>
      <c r="B237" s="3" t="s">
        <v>141</v>
      </c>
      <c r="C237" s="3">
        <v>14</v>
      </c>
      <c r="D237" s="4">
        <v>3</v>
      </c>
      <c r="E237" s="12">
        <f>C237-D237</f>
        <v>11</v>
      </c>
      <c r="F237" s="26">
        <f>D237/C237</f>
        <v>0.21428571428571427</v>
      </c>
      <c r="G237" s="55"/>
    </row>
    <row r="238" spans="1:7" x14ac:dyDescent="0.35">
      <c r="A238" s="1" t="s">
        <v>282</v>
      </c>
      <c r="B238" s="3" t="s">
        <v>278</v>
      </c>
      <c r="C238" s="3">
        <v>13</v>
      </c>
      <c r="D238" s="4">
        <v>3</v>
      </c>
      <c r="E238" s="12">
        <f>C238-D238</f>
        <v>10</v>
      </c>
      <c r="F238" s="26">
        <f>D238/C238</f>
        <v>0.23076923076923078</v>
      </c>
      <c r="G238" s="55"/>
    </row>
    <row r="239" spans="1:7" x14ac:dyDescent="0.35">
      <c r="A239" s="13" t="s">
        <v>88</v>
      </c>
      <c r="B239" s="6">
        <f>19+12+14+13</f>
        <v>58</v>
      </c>
      <c r="C239" s="6"/>
      <c r="D239" s="6">
        <f>SUM(D235:D238)</f>
        <v>16</v>
      </c>
      <c r="E239" s="6">
        <f>SUM(E235:E238)</f>
        <v>42</v>
      </c>
      <c r="F239" s="30">
        <f t="shared" si="10"/>
        <v>0.27586206896551724</v>
      </c>
      <c r="G239" s="55"/>
    </row>
    <row r="240" spans="1:7" x14ac:dyDescent="0.35">
      <c r="A240" s="1" t="s">
        <v>283</v>
      </c>
      <c r="B240" s="3">
        <v>33</v>
      </c>
      <c r="C240" s="3"/>
      <c r="D240" s="4">
        <v>18</v>
      </c>
      <c r="E240" s="12">
        <f t="shared" ref="E240:E246" si="13">B240-D240</f>
        <v>15</v>
      </c>
      <c r="F240" s="26">
        <f t="shared" si="10"/>
        <v>0.54545454545454541</v>
      </c>
      <c r="G240" s="55"/>
    </row>
    <row r="241" spans="1:7" x14ac:dyDescent="0.35">
      <c r="A241" s="1" t="s">
        <v>284</v>
      </c>
      <c r="B241" s="3">
        <v>8</v>
      </c>
      <c r="C241" s="3"/>
      <c r="D241" s="4">
        <v>7</v>
      </c>
      <c r="E241" s="12">
        <f t="shared" si="13"/>
        <v>1</v>
      </c>
      <c r="F241" s="26">
        <f t="shared" si="10"/>
        <v>0.875</v>
      </c>
      <c r="G241" s="55"/>
    </row>
    <row r="242" spans="1:7" x14ac:dyDescent="0.35">
      <c r="A242" s="1" t="s">
        <v>285</v>
      </c>
      <c r="B242" s="3" t="s">
        <v>286</v>
      </c>
      <c r="C242" s="3">
        <v>16</v>
      </c>
      <c r="D242" s="4">
        <v>14</v>
      </c>
      <c r="E242" s="12">
        <f>C242-D242</f>
        <v>2</v>
      </c>
      <c r="F242" s="26">
        <f>D242/C242</f>
        <v>0.875</v>
      </c>
      <c r="G242" s="55"/>
    </row>
    <row r="243" spans="1:7" x14ac:dyDescent="0.35">
      <c r="A243" s="13" t="s">
        <v>88</v>
      </c>
      <c r="B243" s="6">
        <f>33+8+16</f>
        <v>57</v>
      </c>
      <c r="C243" s="6"/>
      <c r="D243" s="6">
        <f>SUM(D240:D242)</f>
        <v>39</v>
      </c>
      <c r="E243" s="6">
        <f>SUM(E240:E242)</f>
        <v>18</v>
      </c>
      <c r="F243" s="30">
        <f t="shared" si="10"/>
        <v>0.68421052631578949</v>
      </c>
      <c r="G243" s="55"/>
    </row>
    <row r="244" spans="1:7" x14ac:dyDescent="0.35">
      <c r="A244" s="1" t="s">
        <v>287</v>
      </c>
      <c r="B244" s="3">
        <v>15</v>
      </c>
      <c r="C244" s="3"/>
      <c r="D244" s="4">
        <v>15</v>
      </c>
      <c r="E244" s="12">
        <f t="shared" si="13"/>
        <v>0</v>
      </c>
      <c r="F244" s="26">
        <f t="shared" si="10"/>
        <v>1</v>
      </c>
      <c r="G244" s="55"/>
    </row>
    <row r="245" spans="1:7" x14ac:dyDescent="0.35">
      <c r="A245" s="1" t="s">
        <v>48</v>
      </c>
      <c r="B245" s="3">
        <v>15</v>
      </c>
      <c r="C245" s="3"/>
      <c r="D245" s="4">
        <v>13</v>
      </c>
      <c r="E245" s="12">
        <f t="shared" si="13"/>
        <v>2</v>
      </c>
      <c r="F245" s="26">
        <f t="shared" si="10"/>
        <v>0.8666666666666667</v>
      </c>
      <c r="G245" s="55"/>
    </row>
    <row r="246" spans="1:7" x14ac:dyDescent="0.35">
      <c r="A246" s="1" t="s">
        <v>288</v>
      </c>
      <c r="B246" s="3">
        <v>8</v>
      </c>
      <c r="C246" s="3"/>
      <c r="D246" s="4">
        <v>7</v>
      </c>
      <c r="E246" s="12">
        <f t="shared" si="13"/>
        <v>1</v>
      </c>
      <c r="F246" s="26">
        <f t="shared" si="10"/>
        <v>0.875</v>
      </c>
      <c r="G246" s="55"/>
    </row>
    <row r="247" spans="1:7" x14ac:dyDescent="0.35">
      <c r="A247" s="13" t="s">
        <v>88</v>
      </c>
      <c r="B247" s="6">
        <f>SUM(B244:B246)</f>
        <v>38</v>
      </c>
      <c r="C247" s="6"/>
      <c r="D247" s="6">
        <f>SUM(D244:D246)</f>
        <v>35</v>
      </c>
      <c r="E247" s="6">
        <f>SUM(E244:E246)</f>
        <v>3</v>
      </c>
      <c r="F247" s="30">
        <f t="shared" si="10"/>
        <v>0.92105263157894735</v>
      </c>
      <c r="G247" s="55"/>
    </row>
    <row r="248" spans="1:7" x14ac:dyDescent="0.35">
      <c r="A248" s="1" t="s">
        <v>289</v>
      </c>
      <c r="B248" s="3" t="s">
        <v>290</v>
      </c>
      <c r="C248" s="3">
        <v>19</v>
      </c>
      <c r="D248" s="4">
        <v>1</v>
      </c>
      <c r="E248" s="12">
        <f>C248-D248</f>
        <v>18</v>
      </c>
      <c r="F248" s="26">
        <f>D248/C248</f>
        <v>5.2631578947368418E-2</v>
      </c>
      <c r="G248" s="55"/>
    </row>
    <row r="249" spans="1:7" x14ac:dyDescent="0.35">
      <c r="A249" s="1" t="s">
        <v>291</v>
      </c>
      <c r="B249" s="3" t="s">
        <v>281</v>
      </c>
      <c r="C249" s="3">
        <v>12</v>
      </c>
      <c r="D249" s="4">
        <v>0</v>
      </c>
      <c r="E249" s="12">
        <f>C249-D249</f>
        <v>12</v>
      </c>
      <c r="F249" s="26">
        <f>D249/C249</f>
        <v>0</v>
      </c>
      <c r="G249" s="55"/>
    </row>
    <row r="250" spans="1:7" x14ac:dyDescent="0.35">
      <c r="A250" s="1" t="s">
        <v>292</v>
      </c>
      <c r="B250" s="3" t="s">
        <v>293</v>
      </c>
      <c r="C250" s="3">
        <v>15</v>
      </c>
      <c r="D250" s="4">
        <v>0</v>
      </c>
      <c r="E250" s="12">
        <f>C250-D250</f>
        <v>15</v>
      </c>
      <c r="F250" s="26">
        <f>D250/C250</f>
        <v>0</v>
      </c>
      <c r="G250" s="55"/>
    </row>
    <row r="251" spans="1:7" x14ac:dyDescent="0.35">
      <c r="A251" s="13" t="s">
        <v>88</v>
      </c>
      <c r="B251" s="6">
        <f>19+12+15</f>
        <v>46</v>
      </c>
      <c r="C251" s="6"/>
      <c r="D251" s="6">
        <f>SUM(D248:D250)</f>
        <v>1</v>
      </c>
      <c r="E251" s="6">
        <f>SUM(E248:E250)</f>
        <v>45</v>
      </c>
      <c r="F251" s="30">
        <f t="shared" si="10"/>
        <v>2.1739130434782608E-2</v>
      </c>
      <c r="G251" s="55"/>
    </row>
    <row r="252" spans="1:7" x14ac:dyDescent="0.35">
      <c r="A252" s="13" t="s">
        <v>274</v>
      </c>
      <c r="B252" s="6">
        <f>SUM(B234,B239,B243,B247,B251)</f>
        <v>239</v>
      </c>
      <c r="C252" s="6"/>
      <c r="D252" s="6">
        <f>SUM(D234,D239,D243,D247,D251)</f>
        <v>98</v>
      </c>
      <c r="E252" s="6">
        <f>SUM(E234,E239,E243,E247,E251)</f>
        <v>141</v>
      </c>
      <c r="F252" s="30">
        <f t="shared" si="10"/>
        <v>0.41004184100418412</v>
      </c>
      <c r="G252" s="55"/>
    </row>
    <row r="253" spans="1:7" x14ac:dyDescent="0.35">
      <c r="A253" s="1" t="s">
        <v>295</v>
      </c>
      <c r="B253" s="3">
        <v>14</v>
      </c>
      <c r="C253" s="3"/>
      <c r="D253" s="4">
        <v>12</v>
      </c>
      <c r="E253" s="12">
        <f t="shared" ref="E253:E267" si="14">B253-D253</f>
        <v>2</v>
      </c>
      <c r="F253" s="26">
        <f t="shared" si="10"/>
        <v>0.8571428571428571</v>
      </c>
      <c r="G253" s="55"/>
    </row>
    <row r="254" spans="1:7" x14ac:dyDescent="0.35">
      <c r="A254" s="1" t="s">
        <v>296</v>
      </c>
      <c r="B254" s="3">
        <v>12</v>
      </c>
      <c r="C254" s="3"/>
      <c r="D254" s="4">
        <v>8</v>
      </c>
      <c r="E254" s="12">
        <f t="shared" si="14"/>
        <v>4</v>
      </c>
      <c r="F254" s="26">
        <f t="shared" si="10"/>
        <v>0.66666666666666663</v>
      </c>
      <c r="G254" s="55"/>
    </row>
    <row r="255" spans="1:7" x14ac:dyDescent="0.35">
      <c r="A255" s="1" t="s">
        <v>297</v>
      </c>
      <c r="B255" s="3">
        <v>10</v>
      </c>
      <c r="C255" s="3"/>
      <c r="D255" s="4">
        <v>6</v>
      </c>
      <c r="E255" s="12">
        <f t="shared" si="14"/>
        <v>4</v>
      </c>
      <c r="F255" s="26">
        <f t="shared" si="10"/>
        <v>0.6</v>
      </c>
      <c r="G255" s="55"/>
    </row>
    <row r="256" spans="1:7" x14ac:dyDescent="0.35">
      <c r="A256" s="1" t="s">
        <v>298</v>
      </c>
      <c r="B256" s="3">
        <v>12</v>
      </c>
      <c r="C256" s="3"/>
      <c r="D256" s="4">
        <v>12</v>
      </c>
      <c r="E256" s="12">
        <f t="shared" si="14"/>
        <v>0</v>
      </c>
      <c r="F256" s="26">
        <f t="shared" si="10"/>
        <v>1</v>
      </c>
      <c r="G256" s="55"/>
    </row>
    <row r="257" spans="1:7" x14ac:dyDescent="0.35">
      <c r="A257" s="1" t="s">
        <v>299</v>
      </c>
      <c r="B257" s="3">
        <v>11</v>
      </c>
      <c r="C257" s="3"/>
      <c r="D257" s="4">
        <v>7</v>
      </c>
      <c r="E257" s="12">
        <f t="shared" si="14"/>
        <v>4</v>
      </c>
      <c r="F257" s="26">
        <f t="shared" si="10"/>
        <v>0.63636363636363635</v>
      </c>
      <c r="G257" s="55"/>
    </row>
    <row r="258" spans="1:7" x14ac:dyDescent="0.35">
      <c r="A258" s="1" t="s">
        <v>300</v>
      </c>
      <c r="B258" s="3">
        <v>12</v>
      </c>
      <c r="C258" s="3"/>
      <c r="D258" s="4">
        <v>12</v>
      </c>
      <c r="E258" s="12">
        <f t="shared" si="14"/>
        <v>0</v>
      </c>
      <c r="F258" s="26">
        <f t="shared" si="10"/>
        <v>1</v>
      </c>
      <c r="G258" s="55"/>
    </row>
    <row r="259" spans="1:7" x14ac:dyDescent="0.35">
      <c r="A259" s="1" t="s">
        <v>301</v>
      </c>
      <c r="B259" s="3">
        <v>15</v>
      </c>
      <c r="C259" s="3"/>
      <c r="D259" s="4">
        <v>13</v>
      </c>
      <c r="E259" s="12">
        <f t="shared" si="14"/>
        <v>2</v>
      </c>
      <c r="F259" s="26">
        <f t="shared" ref="F259:F287" si="15">D259/B259</f>
        <v>0.8666666666666667</v>
      </c>
      <c r="G259" s="55"/>
    </row>
    <row r="260" spans="1:7" x14ac:dyDescent="0.35">
      <c r="A260" s="1" t="s">
        <v>302</v>
      </c>
      <c r="B260" s="3">
        <v>10</v>
      </c>
      <c r="C260" s="3"/>
      <c r="D260" s="4">
        <v>9</v>
      </c>
      <c r="E260" s="12">
        <f t="shared" si="14"/>
        <v>1</v>
      </c>
      <c r="F260" s="26">
        <f t="shared" si="15"/>
        <v>0.9</v>
      </c>
      <c r="G260" s="55"/>
    </row>
    <row r="261" spans="1:7" x14ac:dyDescent="0.35">
      <c r="A261" s="1" t="s">
        <v>303</v>
      </c>
      <c r="B261" s="3">
        <v>10</v>
      </c>
      <c r="C261" s="3"/>
      <c r="D261" s="4">
        <v>8</v>
      </c>
      <c r="E261" s="12">
        <f t="shared" si="14"/>
        <v>2</v>
      </c>
      <c r="F261" s="26">
        <f t="shared" si="15"/>
        <v>0.8</v>
      </c>
      <c r="G261" s="55"/>
    </row>
    <row r="262" spans="1:7" x14ac:dyDescent="0.35">
      <c r="A262" s="1" t="s">
        <v>304</v>
      </c>
      <c r="B262" s="3">
        <v>10</v>
      </c>
      <c r="C262" s="3"/>
      <c r="D262" s="4">
        <v>7</v>
      </c>
      <c r="E262" s="12">
        <f t="shared" si="14"/>
        <v>3</v>
      </c>
      <c r="F262" s="26">
        <f t="shared" si="15"/>
        <v>0.7</v>
      </c>
      <c r="G262" s="55"/>
    </row>
    <row r="263" spans="1:7" x14ac:dyDescent="0.35">
      <c r="A263" s="13" t="s">
        <v>88</v>
      </c>
      <c r="B263" s="6">
        <f>SUM(B253:B262)</f>
        <v>116</v>
      </c>
      <c r="C263" s="6"/>
      <c r="D263" s="6">
        <f>SUM(D253:D262)</f>
        <v>94</v>
      </c>
      <c r="E263" s="6">
        <f>SUM(E253:E262)</f>
        <v>22</v>
      </c>
      <c r="F263" s="30">
        <f t="shared" si="15"/>
        <v>0.81034482758620685</v>
      </c>
      <c r="G263" s="55"/>
    </row>
    <row r="264" spans="1:7" x14ac:dyDescent="0.35">
      <c r="A264" s="1" t="s">
        <v>305</v>
      </c>
      <c r="B264" s="3" t="s">
        <v>278</v>
      </c>
      <c r="C264" s="3">
        <v>13</v>
      </c>
      <c r="D264" s="4">
        <v>1</v>
      </c>
      <c r="E264" s="12">
        <f>C264-D264</f>
        <v>12</v>
      </c>
      <c r="F264" s="26">
        <f>D264/C264</f>
        <v>7.6923076923076927E-2</v>
      </c>
      <c r="G264" s="55"/>
    </row>
    <row r="265" spans="1:7" x14ac:dyDescent="0.35">
      <c r="A265" s="1" t="s">
        <v>306</v>
      </c>
      <c r="B265" s="3">
        <v>14</v>
      </c>
      <c r="C265" s="3"/>
      <c r="D265" s="4">
        <v>6</v>
      </c>
      <c r="E265" s="12">
        <f t="shared" si="14"/>
        <v>8</v>
      </c>
      <c r="F265" s="26">
        <f t="shared" si="15"/>
        <v>0.42857142857142855</v>
      </c>
      <c r="G265" s="55"/>
    </row>
    <row r="266" spans="1:7" x14ac:dyDescent="0.35">
      <c r="A266" s="1" t="s">
        <v>307</v>
      </c>
      <c r="B266" s="3">
        <v>8</v>
      </c>
      <c r="C266" s="3"/>
      <c r="D266" s="4">
        <v>3</v>
      </c>
      <c r="E266" s="12">
        <f t="shared" si="14"/>
        <v>5</v>
      </c>
      <c r="F266" s="26">
        <f t="shared" si="15"/>
        <v>0.375</v>
      </c>
      <c r="G266" s="55"/>
    </row>
    <row r="267" spans="1:7" x14ac:dyDescent="0.35">
      <c r="A267" s="1" t="s">
        <v>308</v>
      </c>
      <c r="B267" s="3">
        <v>12</v>
      </c>
      <c r="C267" s="3"/>
      <c r="D267" s="4">
        <v>2</v>
      </c>
      <c r="E267" s="12">
        <f t="shared" si="14"/>
        <v>10</v>
      </c>
      <c r="F267" s="26">
        <f t="shared" si="15"/>
        <v>0.16666666666666666</v>
      </c>
      <c r="G267" s="55"/>
    </row>
    <row r="268" spans="1:7" x14ac:dyDescent="0.35">
      <c r="A268" s="13" t="s">
        <v>88</v>
      </c>
      <c r="B268" s="6">
        <f>SUM(B265:B267)+13</f>
        <v>47</v>
      </c>
      <c r="C268" s="6"/>
      <c r="D268" s="6">
        <f>SUM(D264:D267)</f>
        <v>12</v>
      </c>
      <c r="E268" s="6">
        <f>SUM(E264:E267)</f>
        <v>35</v>
      </c>
      <c r="F268" s="30">
        <f t="shared" si="15"/>
        <v>0.25531914893617019</v>
      </c>
      <c r="G268" s="55"/>
    </row>
    <row r="269" spans="1:7" x14ac:dyDescent="0.35">
      <c r="A269" s="1" t="s">
        <v>309</v>
      </c>
      <c r="B269" s="3" t="s">
        <v>281</v>
      </c>
      <c r="C269" s="3">
        <v>12</v>
      </c>
      <c r="D269" s="4">
        <v>1</v>
      </c>
      <c r="E269" s="12">
        <f>C269-D269</f>
        <v>11</v>
      </c>
      <c r="F269" s="26">
        <f>D269/C269</f>
        <v>8.3333333333333329E-2</v>
      </c>
      <c r="G269" s="55"/>
    </row>
    <row r="270" spans="1:7" x14ac:dyDescent="0.35">
      <c r="A270" s="1" t="s">
        <v>310</v>
      </c>
      <c r="B270" s="3">
        <v>14</v>
      </c>
      <c r="C270" s="3"/>
      <c r="D270" s="4">
        <v>3</v>
      </c>
      <c r="E270" s="12">
        <f t="shared" ref="E270:E283" si="16">B270-D270</f>
        <v>11</v>
      </c>
      <c r="F270" s="26">
        <f t="shared" si="15"/>
        <v>0.21428571428571427</v>
      </c>
      <c r="G270" s="55"/>
    </row>
    <row r="271" spans="1:7" x14ac:dyDescent="0.35">
      <c r="A271" s="1" t="s">
        <v>311</v>
      </c>
      <c r="B271" s="3">
        <v>14</v>
      </c>
      <c r="C271" s="3"/>
      <c r="D271" s="4">
        <v>5</v>
      </c>
      <c r="E271" s="12">
        <f t="shared" si="16"/>
        <v>9</v>
      </c>
      <c r="F271" s="26">
        <f t="shared" si="15"/>
        <v>0.35714285714285715</v>
      </c>
      <c r="G271" s="55"/>
    </row>
    <row r="272" spans="1:7" x14ac:dyDescent="0.35">
      <c r="A272" s="13" t="s">
        <v>88</v>
      </c>
      <c r="B272" s="6">
        <f>28+12</f>
        <v>40</v>
      </c>
      <c r="C272" s="6"/>
      <c r="D272" s="6">
        <f>SUM(D269:D271)</f>
        <v>9</v>
      </c>
      <c r="E272" s="6">
        <f>SUM(E269:E271)</f>
        <v>31</v>
      </c>
      <c r="F272" s="30">
        <f t="shared" si="15"/>
        <v>0.22500000000000001</v>
      </c>
      <c r="G272" s="55"/>
    </row>
    <row r="273" spans="1:7" x14ac:dyDescent="0.35">
      <c r="A273" s="1" t="s">
        <v>312</v>
      </c>
      <c r="B273" s="3">
        <v>21</v>
      </c>
      <c r="C273" s="3"/>
      <c r="D273" s="4">
        <v>4</v>
      </c>
      <c r="E273" s="12">
        <f t="shared" si="16"/>
        <v>17</v>
      </c>
      <c r="F273" s="26">
        <f t="shared" si="15"/>
        <v>0.19047619047619047</v>
      </c>
      <c r="G273" s="55"/>
    </row>
    <row r="274" spans="1:7" x14ac:dyDescent="0.35">
      <c r="A274" s="1" t="s">
        <v>313</v>
      </c>
      <c r="B274" s="3">
        <v>33</v>
      </c>
      <c r="C274" s="3"/>
      <c r="D274" s="4">
        <v>7</v>
      </c>
      <c r="E274" s="12">
        <f t="shared" si="16"/>
        <v>26</v>
      </c>
      <c r="F274" s="26">
        <f t="shared" si="15"/>
        <v>0.21212121212121213</v>
      </c>
      <c r="G274" s="55"/>
    </row>
    <row r="275" spans="1:7" x14ac:dyDescent="0.35">
      <c r="A275" s="1" t="s">
        <v>314</v>
      </c>
      <c r="B275" s="3">
        <v>23</v>
      </c>
      <c r="C275" s="3"/>
      <c r="D275" s="4">
        <v>8</v>
      </c>
      <c r="E275" s="12">
        <f t="shared" si="16"/>
        <v>15</v>
      </c>
      <c r="F275" s="26">
        <f t="shared" si="15"/>
        <v>0.34782608695652173</v>
      </c>
      <c r="G275" s="55"/>
    </row>
    <row r="276" spans="1:7" x14ac:dyDescent="0.35">
      <c r="A276" s="1" t="s">
        <v>315</v>
      </c>
      <c r="B276" s="3" t="s">
        <v>316</v>
      </c>
      <c r="C276" s="3">
        <v>16</v>
      </c>
      <c r="D276" s="4">
        <v>5</v>
      </c>
      <c r="E276" s="12">
        <f>C276-D276</f>
        <v>11</v>
      </c>
      <c r="F276" s="26">
        <f>D276/C276</f>
        <v>0.3125</v>
      </c>
      <c r="G276" s="55"/>
    </row>
    <row r="277" spans="1:7" x14ac:dyDescent="0.35">
      <c r="A277" s="1" t="s">
        <v>317</v>
      </c>
      <c r="B277" s="3">
        <v>12</v>
      </c>
      <c r="C277" s="3"/>
      <c r="D277" s="4">
        <v>5</v>
      </c>
      <c r="E277" s="12">
        <f t="shared" si="16"/>
        <v>7</v>
      </c>
      <c r="F277" s="26">
        <f t="shared" si="15"/>
        <v>0.41666666666666669</v>
      </c>
      <c r="G277" s="55"/>
    </row>
    <row r="278" spans="1:7" x14ac:dyDescent="0.35">
      <c r="A278" s="13" t="s">
        <v>88</v>
      </c>
      <c r="B278" s="6">
        <f>SUM(B273:B275)+16+12</f>
        <v>105</v>
      </c>
      <c r="C278" s="6"/>
      <c r="D278" s="6">
        <f>SUM(D273:D277)</f>
        <v>29</v>
      </c>
      <c r="E278" s="6">
        <f>SUM(E273:E277)</f>
        <v>76</v>
      </c>
      <c r="F278" s="30">
        <f t="shared" si="15"/>
        <v>0.27619047619047621</v>
      </c>
      <c r="G278" s="55"/>
    </row>
    <row r="279" spans="1:7" x14ac:dyDescent="0.35">
      <c r="A279" s="1" t="s">
        <v>318</v>
      </c>
      <c r="B279" s="3">
        <v>28</v>
      </c>
      <c r="C279" s="3"/>
      <c r="D279" s="4">
        <v>15</v>
      </c>
      <c r="E279" s="12">
        <f t="shared" si="16"/>
        <v>13</v>
      </c>
      <c r="F279" s="26">
        <f t="shared" si="15"/>
        <v>0.5357142857142857</v>
      </c>
      <c r="G279" s="55"/>
    </row>
    <row r="280" spans="1:7" x14ac:dyDescent="0.35">
      <c r="A280" s="1" t="s">
        <v>319</v>
      </c>
      <c r="B280" s="3">
        <v>9</v>
      </c>
      <c r="C280" s="3"/>
      <c r="D280" s="4">
        <v>1</v>
      </c>
      <c r="E280" s="12">
        <f t="shared" si="16"/>
        <v>8</v>
      </c>
      <c r="F280" s="26">
        <f t="shared" si="15"/>
        <v>0.1111111111111111</v>
      </c>
      <c r="G280" s="55"/>
    </row>
    <row r="281" spans="1:7" x14ac:dyDescent="0.35">
      <c r="A281" s="1" t="s">
        <v>320</v>
      </c>
      <c r="B281" s="3">
        <v>4</v>
      </c>
      <c r="C281" s="3"/>
      <c r="D281" s="4">
        <v>2</v>
      </c>
      <c r="E281" s="12">
        <f t="shared" si="16"/>
        <v>2</v>
      </c>
      <c r="F281" s="26">
        <f t="shared" si="15"/>
        <v>0.5</v>
      </c>
      <c r="G281" s="55"/>
    </row>
    <row r="282" spans="1:7" x14ac:dyDescent="0.35">
      <c r="A282" s="1" t="s">
        <v>321</v>
      </c>
      <c r="B282" s="3" t="s">
        <v>322</v>
      </c>
      <c r="C282" s="3">
        <v>18</v>
      </c>
      <c r="D282" s="4">
        <v>3</v>
      </c>
      <c r="E282" s="12">
        <f>C282-D282</f>
        <v>15</v>
      </c>
      <c r="F282" s="26">
        <f>D282/C282</f>
        <v>0.16666666666666666</v>
      </c>
      <c r="G282" s="55"/>
    </row>
    <row r="283" spans="1:7" x14ac:dyDescent="0.35">
      <c r="A283" s="1" t="s">
        <v>323</v>
      </c>
      <c r="B283" s="3">
        <v>15</v>
      </c>
      <c r="C283" s="3"/>
      <c r="D283" s="4">
        <v>5</v>
      </c>
      <c r="E283" s="12">
        <f t="shared" si="16"/>
        <v>10</v>
      </c>
      <c r="F283" s="26">
        <f t="shared" si="15"/>
        <v>0.33333333333333331</v>
      </c>
      <c r="G283" s="55"/>
    </row>
    <row r="284" spans="1:7" x14ac:dyDescent="0.35">
      <c r="A284" s="1" t="s">
        <v>411</v>
      </c>
      <c r="B284" s="3" t="s">
        <v>324</v>
      </c>
      <c r="C284" s="3">
        <v>17</v>
      </c>
      <c r="D284" s="4">
        <v>1</v>
      </c>
      <c r="E284" s="12">
        <f>C284-D284</f>
        <v>16</v>
      </c>
      <c r="F284" s="26">
        <f>D284/C284</f>
        <v>5.8823529411764705E-2</v>
      </c>
      <c r="G284" s="55"/>
    </row>
    <row r="285" spans="1:7" x14ac:dyDescent="0.35">
      <c r="A285" s="13" t="s">
        <v>88</v>
      </c>
      <c r="B285" s="6">
        <f>SUM(B279:B281)+18+15+17</f>
        <v>91</v>
      </c>
      <c r="C285" s="6"/>
      <c r="D285" s="6">
        <f>SUM(D279:D284)</f>
        <v>27</v>
      </c>
      <c r="E285" s="6">
        <f>SUM(E279:E284)</f>
        <v>64</v>
      </c>
      <c r="F285" s="30">
        <f t="shared" si="15"/>
        <v>0.2967032967032967</v>
      </c>
      <c r="G285" s="55"/>
    </row>
    <row r="286" spans="1:7" x14ac:dyDescent="0.35">
      <c r="A286" s="13" t="s">
        <v>294</v>
      </c>
      <c r="B286" s="6">
        <f>SUM(B263,B268,B272,B278,B285)</f>
        <v>399</v>
      </c>
      <c r="C286" s="6"/>
      <c r="D286" s="6">
        <f>SUM(D263,D268,D272,D278,D285)</f>
        <v>171</v>
      </c>
      <c r="E286" s="6">
        <f>SUM(E263,E268,E272,E278,E285)</f>
        <v>228</v>
      </c>
      <c r="F286" s="30">
        <f t="shared" si="15"/>
        <v>0.42857142857142855</v>
      </c>
      <c r="G286" s="55"/>
    </row>
    <row r="287" spans="1:7" x14ac:dyDescent="0.35">
      <c r="A287" s="13" t="s">
        <v>88</v>
      </c>
      <c r="B287" s="6">
        <f>SUM(B48,B72,B101,B160,B188,B209,B230,B252,B286)</f>
        <v>4468</v>
      </c>
      <c r="C287" s="6">
        <f>SUM(C48,C72,C101,C160,C188,C209,C230,C252,C286)</f>
        <v>0</v>
      </c>
      <c r="D287" s="6">
        <f>SUM(D48,D72,D101,D160,D188,D209,D230,D252,D286)</f>
        <v>2674</v>
      </c>
      <c r="E287" s="6">
        <f>SUM(E48,E72,E101,E160,E188,E209,E230,E252,E286)</f>
        <v>1794</v>
      </c>
      <c r="F287" s="30">
        <f t="shared" si="15"/>
        <v>0.59847806624888089</v>
      </c>
      <c r="G287" s="55"/>
    </row>
  </sheetData>
  <autoFilter ref="A1:F287" xr:uid="{AF9C4507-8274-4B10-8F73-BD8DC29FC53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51553-4800-4B29-B3F6-ACF5B21B3CCB}">
  <dimension ref="A1:E16"/>
  <sheetViews>
    <sheetView workbookViewId="0">
      <selection activeCell="A14" sqref="A14"/>
    </sheetView>
  </sheetViews>
  <sheetFormatPr defaultRowHeight="14.5" x14ac:dyDescent="0.35"/>
  <cols>
    <col min="1" max="1" width="23.08984375" bestFit="1" customWidth="1"/>
    <col min="2" max="2" width="18.453125" customWidth="1"/>
    <col min="3" max="3" width="18.7265625" style="11" customWidth="1"/>
    <col min="4" max="4" width="19.54296875" customWidth="1"/>
    <col min="5" max="5" width="15.453125" customWidth="1"/>
  </cols>
  <sheetData>
    <row r="1" spans="1:5" ht="46" x14ac:dyDescent="0.35">
      <c r="A1" s="52" t="s">
        <v>409</v>
      </c>
      <c r="B1" s="53" t="s">
        <v>75</v>
      </c>
      <c r="C1" s="54" t="s">
        <v>89</v>
      </c>
      <c r="D1" s="54" t="s">
        <v>90</v>
      </c>
      <c r="E1" s="57" t="s">
        <v>405</v>
      </c>
    </row>
    <row r="2" spans="1:5" x14ac:dyDescent="0.35">
      <c r="A2" s="1" t="s">
        <v>410</v>
      </c>
      <c r="B2" s="3">
        <v>6</v>
      </c>
      <c r="C2" s="4">
        <v>0</v>
      </c>
      <c r="D2" s="12">
        <f>B2-C2</f>
        <v>6</v>
      </c>
      <c r="E2" s="58">
        <v>0</v>
      </c>
    </row>
    <row r="3" spans="1:5" x14ac:dyDescent="0.35">
      <c r="A3" s="1" t="s">
        <v>116</v>
      </c>
      <c r="B3" s="3">
        <v>9</v>
      </c>
      <c r="C3" s="4">
        <v>1</v>
      </c>
      <c r="D3" s="12">
        <f>B3-C3</f>
        <v>8</v>
      </c>
      <c r="E3" s="58">
        <v>0.11</v>
      </c>
    </row>
    <row r="4" spans="1:5" x14ac:dyDescent="0.35">
      <c r="A4" s="5" t="s">
        <v>98</v>
      </c>
      <c r="B4" s="6">
        <f>SUM(B2:B3)</f>
        <v>15</v>
      </c>
      <c r="C4" s="6">
        <f>SUM(C2:C3)</f>
        <v>1</v>
      </c>
      <c r="D4" s="6">
        <f>SUM(D2:D3)</f>
        <v>14</v>
      </c>
      <c r="E4" s="59">
        <v>0.22</v>
      </c>
    </row>
    <row r="5" spans="1:5" x14ac:dyDescent="0.35">
      <c r="A5" s="1" t="s">
        <v>221</v>
      </c>
      <c r="B5" s="3">
        <v>14</v>
      </c>
      <c r="C5" s="3">
        <v>1</v>
      </c>
      <c r="D5" s="12">
        <f>B5-C5</f>
        <v>13</v>
      </c>
      <c r="E5" s="58">
        <v>7.0000000000000007E-2</v>
      </c>
    </row>
    <row r="6" spans="1:5" x14ac:dyDescent="0.35">
      <c r="A6" s="60" t="s">
        <v>325</v>
      </c>
      <c r="B6" s="61">
        <v>14</v>
      </c>
      <c r="C6" s="61">
        <v>1</v>
      </c>
      <c r="D6" s="62">
        <v>13</v>
      </c>
      <c r="E6" s="59">
        <v>7.0000000000000007E-2</v>
      </c>
    </row>
    <row r="7" spans="1:5" x14ac:dyDescent="0.35">
      <c r="A7" s="1" t="s">
        <v>407</v>
      </c>
      <c r="B7" s="3" t="s">
        <v>141</v>
      </c>
      <c r="C7" s="3">
        <v>3</v>
      </c>
      <c r="D7" s="12">
        <f>14-C7</f>
        <v>11</v>
      </c>
      <c r="E7" s="58">
        <v>0.21</v>
      </c>
    </row>
    <row r="8" spans="1:5" x14ac:dyDescent="0.35">
      <c r="A8" s="60" t="s">
        <v>274</v>
      </c>
      <c r="B8" s="61">
        <v>14</v>
      </c>
      <c r="C8" s="61">
        <v>3</v>
      </c>
      <c r="D8" s="62">
        <v>11</v>
      </c>
      <c r="E8" s="59">
        <v>0.21</v>
      </c>
    </row>
    <row r="9" spans="1:5" x14ac:dyDescent="0.35">
      <c r="A9" s="1" t="s">
        <v>305</v>
      </c>
      <c r="B9" s="3" t="s">
        <v>278</v>
      </c>
      <c r="C9" s="3">
        <v>1</v>
      </c>
      <c r="D9" s="63">
        <f>13-C9</f>
        <v>12</v>
      </c>
      <c r="E9" s="58">
        <v>0.08</v>
      </c>
    </row>
    <row r="10" spans="1:5" x14ac:dyDescent="0.35">
      <c r="A10" s="1" t="s">
        <v>309</v>
      </c>
      <c r="B10" s="3" t="s">
        <v>281</v>
      </c>
      <c r="C10" s="3">
        <v>2</v>
      </c>
      <c r="D10" s="63">
        <f>12-C10</f>
        <v>10</v>
      </c>
      <c r="E10" s="58">
        <v>0.17</v>
      </c>
    </row>
    <row r="11" spans="1:5" x14ac:dyDescent="0.35">
      <c r="A11" s="1" t="s">
        <v>315</v>
      </c>
      <c r="B11" s="3" t="s">
        <v>316</v>
      </c>
      <c r="C11" s="3">
        <v>4</v>
      </c>
      <c r="D11" s="63">
        <f>16-4</f>
        <v>12</v>
      </c>
      <c r="E11" s="58">
        <v>0.25</v>
      </c>
    </row>
    <row r="12" spans="1:5" x14ac:dyDescent="0.35">
      <c r="A12" s="1" t="s">
        <v>319</v>
      </c>
      <c r="B12" s="3">
        <v>9</v>
      </c>
      <c r="C12" s="3">
        <v>1</v>
      </c>
      <c r="D12" s="12">
        <f>B12-C12</f>
        <v>8</v>
      </c>
      <c r="E12" s="58">
        <v>0.11</v>
      </c>
    </row>
    <row r="13" spans="1:5" x14ac:dyDescent="0.35">
      <c r="A13" s="1" t="s">
        <v>323</v>
      </c>
      <c r="B13" s="3">
        <v>15</v>
      </c>
      <c r="C13" s="3">
        <v>3</v>
      </c>
      <c r="D13" s="63">
        <f>B13-3</f>
        <v>12</v>
      </c>
      <c r="E13" s="58">
        <v>0.2</v>
      </c>
    </row>
    <row r="14" spans="1:5" x14ac:dyDescent="0.35">
      <c r="A14" s="1" t="s">
        <v>408</v>
      </c>
      <c r="B14" s="3" t="s">
        <v>324</v>
      </c>
      <c r="C14" s="3">
        <v>1</v>
      </c>
      <c r="D14" s="63">
        <f>17-C14</f>
        <v>16</v>
      </c>
      <c r="E14" s="58">
        <v>0.06</v>
      </c>
    </row>
    <row r="15" spans="1:5" x14ac:dyDescent="0.35">
      <c r="A15" s="60" t="s">
        <v>294</v>
      </c>
      <c r="B15" s="61">
        <f>13+12+16+9+15+17</f>
        <v>82</v>
      </c>
      <c r="C15" s="61">
        <f>SUM(C9:C14)</f>
        <v>12</v>
      </c>
      <c r="D15" s="61">
        <f>SUM(D9:D14)</f>
        <v>70</v>
      </c>
      <c r="E15" s="59">
        <v>0.15</v>
      </c>
    </row>
    <row r="16" spans="1:5" x14ac:dyDescent="0.35">
      <c r="A16" s="60" t="s">
        <v>88</v>
      </c>
      <c r="B16" s="61">
        <f>SUM(B4,B6,B8,B15)</f>
        <v>125</v>
      </c>
      <c r="C16" s="61">
        <f t="shared" ref="C16:D16" si="0">SUM(C4,C6,C8,C15)</f>
        <v>17</v>
      </c>
      <c r="D16" s="61">
        <f t="shared" si="0"/>
        <v>108</v>
      </c>
      <c r="E16" s="59">
        <f>C16/B16</f>
        <v>0.13600000000000001</v>
      </c>
    </row>
  </sheetData>
  <pageMargins left="0.7" right="0.7" top="0.75" bottom="0.75" header="0.3" footer="0.3"/>
  <pageSetup paperSize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454A-4493-444F-BBBD-45C8DC9F8883}">
  <dimension ref="A1:G1039"/>
  <sheetViews>
    <sheetView workbookViewId="0">
      <selection activeCell="E707" sqref="E707"/>
    </sheetView>
  </sheetViews>
  <sheetFormatPr defaultRowHeight="14.5" x14ac:dyDescent="0.35"/>
  <cols>
    <col min="2" max="2" width="12.54296875" bestFit="1" customWidth="1"/>
    <col min="3" max="3" width="18.453125" hidden="1" customWidth="1"/>
    <col min="4" max="4" width="22.7265625" bestFit="1" customWidth="1"/>
    <col min="6" max="6" width="20.26953125" bestFit="1" customWidth="1"/>
  </cols>
  <sheetData>
    <row r="1" spans="1:7" x14ac:dyDescent="0.35">
      <c r="A1" s="33" t="s">
        <v>0</v>
      </c>
      <c r="B1" s="33" t="s">
        <v>1</v>
      </c>
      <c r="C1" s="33" t="s">
        <v>2</v>
      </c>
      <c r="D1" s="33" t="s">
        <v>3</v>
      </c>
      <c r="E1" s="34" t="s">
        <v>4</v>
      </c>
      <c r="F1" s="35" t="s">
        <v>5</v>
      </c>
      <c r="G1" s="35" t="s">
        <v>367</v>
      </c>
    </row>
    <row r="2" spans="1:7" x14ac:dyDescent="0.35">
      <c r="A2" s="41">
        <v>1</v>
      </c>
      <c r="B2" s="17" t="s">
        <v>45</v>
      </c>
      <c r="C2" s="17" t="s">
        <v>350</v>
      </c>
      <c r="D2" s="17" t="s">
        <v>129</v>
      </c>
      <c r="E2" s="18">
        <v>24401003</v>
      </c>
      <c r="F2" s="41">
        <v>203</v>
      </c>
      <c r="G2" s="20" t="s">
        <v>27</v>
      </c>
    </row>
    <row r="3" spans="1:7" x14ac:dyDescent="0.35">
      <c r="A3" s="41">
        <v>2</v>
      </c>
      <c r="B3" s="17" t="s">
        <v>45</v>
      </c>
      <c r="C3" s="17" t="s">
        <v>350</v>
      </c>
      <c r="D3" s="17" t="s">
        <v>129</v>
      </c>
      <c r="E3" s="18">
        <v>24401015</v>
      </c>
      <c r="F3" s="41">
        <v>203</v>
      </c>
      <c r="G3" s="20" t="s">
        <v>9</v>
      </c>
    </row>
    <row r="4" spans="1:7" x14ac:dyDescent="0.35">
      <c r="A4" s="41">
        <v>3</v>
      </c>
      <c r="B4" s="17" t="s">
        <v>45</v>
      </c>
      <c r="C4" s="17" t="s">
        <v>350</v>
      </c>
      <c r="D4" s="17" t="s">
        <v>129</v>
      </c>
      <c r="E4" s="18">
        <v>24401020</v>
      </c>
      <c r="F4" s="41">
        <v>203</v>
      </c>
      <c r="G4" s="20" t="s">
        <v>9</v>
      </c>
    </row>
    <row r="5" spans="1:7" x14ac:dyDescent="0.35">
      <c r="A5" s="41">
        <v>4</v>
      </c>
      <c r="B5" s="17" t="s">
        <v>45</v>
      </c>
      <c r="C5" s="17" t="s">
        <v>350</v>
      </c>
      <c r="D5" s="17" t="s">
        <v>129</v>
      </c>
      <c r="E5" s="18">
        <v>24401024</v>
      </c>
      <c r="F5" s="41">
        <v>218</v>
      </c>
      <c r="G5" s="20" t="s">
        <v>9</v>
      </c>
    </row>
    <row r="6" spans="1:7" x14ac:dyDescent="0.35">
      <c r="A6" s="41">
        <v>5</v>
      </c>
      <c r="B6" s="17" t="s">
        <v>45</v>
      </c>
      <c r="C6" s="17" t="s">
        <v>350</v>
      </c>
      <c r="D6" s="17" t="s">
        <v>129</v>
      </c>
      <c r="E6" s="18">
        <v>24401025</v>
      </c>
      <c r="F6" s="41">
        <v>208</v>
      </c>
      <c r="G6" s="20" t="s">
        <v>9</v>
      </c>
    </row>
    <row r="7" spans="1:7" x14ac:dyDescent="0.35">
      <c r="A7" s="41">
        <v>6</v>
      </c>
      <c r="B7" s="17" t="s">
        <v>45</v>
      </c>
      <c r="C7" s="17" t="s">
        <v>350</v>
      </c>
      <c r="D7" s="17" t="s">
        <v>132</v>
      </c>
      <c r="E7" s="18">
        <v>24404004</v>
      </c>
      <c r="F7" s="41">
        <v>209</v>
      </c>
      <c r="G7" s="20" t="s">
        <v>27</v>
      </c>
    </row>
    <row r="8" spans="1:7" x14ac:dyDescent="0.35">
      <c r="A8" s="41">
        <v>7</v>
      </c>
      <c r="B8" s="17" t="s">
        <v>45</v>
      </c>
      <c r="C8" s="17" t="s">
        <v>350</v>
      </c>
      <c r="D8" s="17" t="s">
        <v>132</v>
      </c>
      <c r="E8" s="18">
        <v>24404007</v>
      </c>
      <c r="F8" s="41">
        <v>203</v>
      </c>
      <c r="G8" s="20" t="s">
        <v>9</v>
      </c>
    </row>
    <row r="9" spans="1:7" x14ac:dyDescent="0.35">
      <c r="A9" s="41">
        <v>8</v>
      </c>
      <c r="B9" s="17" t="s">
        <v>45</v>
      </c>
      <c r="C9" s="17" t="s">
        <v>350</v>
      </c>
      <c r="D9" s="17" t="s">
        <v>132</v>
      </c>
      <c r="E9" s="18">
        <v>24404010</v>
      </c>
      <c r="F9" s="41">
        <v>207</v>
      </c>
      <c r="G9" s="20" t="s">
        <v>9</v>
      </c>
    </row>
    <row r="10" spans="1:7" x14ac:dyDescent="0.35">
      <c r="A10" s="41">
        <v>9</v>
      </c>
      <c r="B10" s="17" t="s">
        <v>45</v>
      </c>
      <c r="C10" s="17" t="s">
        <v>350</v>
      </c>
      <c r="D10" s="17" t="s">
        <v>132</v>
      </c>
      <c r="E10" s="18">
        <v>24404012</v>
      </c>
      <c r="F10" s="41">
        <v>201</v>
      </c>
      <c r="G10" s="20" t="s">
        <v>9</v>
      </c>
    </row>
    <row r="11" spans="1:7" x14ac:dyDescent="0.35">
      <c r="A11" s="41">
        <v>10</v>
      </c>
      <c r="B11" s="17" t="s">
        <v>45</v>
      </c>
      <c r="C11" s="17" t="s">
        <v>350</v>
      </c>
      <c r="D11" s="17" t="s">
        <v>130</v>
      </c>
      <c r="E11" s="18">
        <v>24402017</v>
      </c>
      <c r="F11" s="41">
        <v>215</v>
      </c>
      <c r="G11" s="20" t="s">
        <v>9</v>
      </c>
    </row>
    <row r="12" spans="1:7" x14ac:dyDescent="0.35">
      <c r="A12" s="41">
        <v>11</v>
      </c>
      <c r="B12" s="17" t="s">
        <v>45</v>
      </c>
      <c r="C12" s="17" t="s">
        <v>350</v>
      </c>
      <c r="D12" s="17" t="s">
        <v>130</v>
      </c>
      <c r="E12" s="18">
        <v>24402023</v>
      </c>
      <c r="F12" s="41">
        <v>202</v>
      </c>
      <c r="G12" s="20" t="s">
        <v>9</v>
      </c>
    </row>
    <row r="13" spans="1:7" x14ac:dyDescent="0.35">
      <c r="A13" s="41">
        <v>12</v>
      </c>
      <c r="B13" s="17" t="s">
        <v>45</v>
      </c>
      <c r="C13" s="17" t="s">
        <v>350</v>
      </c>
      <c r="D13" s="17" t="s">
        <v>130</v>
      </c>
      <c r="E13" s="18">
        <v>24402026</v>
      </c>
      <c r="F13" s="41">
        <v>200</v>
      </c>
      <c r="G13" s="20" t="s">
        <v>9</v>
      </c>
    </row>
    <row r="14" spans="1:7" x14ac:dyDescent="0.35">
      <c r="A14" s="41">
        <v>13</v>
      </c>
      <c r="B14" s="17" t="s">
        <v>45</v>
      </c>
      <c r="C14" s="17" t="s">
        <v>350</v>
      </c>
      <c r="D14" s="17" t="s">
        <v>130</v>
      </c>
      <c r="E14" s="18">
        <v>24402028</v>
      </c>
      <c r="F14" s="41">
        <v>204</v>
      </c>
      <c r="G14" s="20" t="s">
        <v>9</v>
      </c>
    </row>
    <row r="15" spans="1:7" x14ac:dyDescent="0.35">
      <c r="A15" s="41">
        <v>14</v>
      </c>
      <c r="B15" s="17" t="s">
        <v>45</v>
      </c>
      <c r="C15" s="17" t="s">
        <v>350</v>
      </c>
      <c r="D15" s="17" t="s">
        <v>351</v>
      </c>
      <c r="E15" s="18">
        <v>24403001</v>
      </c>
      <c r="F15" s="41">
        <v>204</v>
      </c>
      <c r="G15" s="20" t="s">
        <v>9</v>
      </c>
    </row>
    <row r="16" spans="1:7" x14ac:dyDescent="0.35">
      <c r="A16" s="41">
        <v>15</v>
      </c>
      <c r="B16" s="17" t="s">
        <v>45</v>
      </c>
      <c r="C16" s="17" t="s">
        <v>350</v>
      </c>
      <c r="D16" s="17" t="s">
        <v>351</v>
      </c>
      <c r="E16" s="18">
        <v>24403009</v>
      </c>
      <c r="F16" s="41">
        <v>217</v>
      </c>
      <c r="G16" s="20" t="s">
        <v>9</v>
      </c>
    </row>
    <row r="17" spans="1:7" x14ac:dyDescent="0.35">
      <c r="A17" s="41">
        <v>16</v>
      </c>
      <c r="B17" s="17" t="s">
        <v>45</v>
      </c>
      <c r="C17" s="17" t="s">
        <v>350</v>
      </c>
      <c r="D17" s="17" t="s">
        <v>351</v>
      </c>
      <c r="E17" s="18">
        <v>24403013</v>
      </c>
      <c r="F17" s="41">
        <v>206</v>
      </c>
      <c r="G17" s="20" t="s">
        <v>9</v>
      </c>
    </row>
    <row r="18" spans="1:7" x14ac:dyDescent="0.35">
      <c r="A18" s="41">
        <v>17</v>
      </c>
      <c r="B18" s="17" t="s">
        <v>45</v>
      </c>
      <c r="C18" s="17" t="s">
        <v>350</v>
      </c>
      <c r="D18" s="17" t="s">
        <v>351</v>
      </c>
      <c r="E18" s="18">
        <v>24403015</v>
      </c>
      <c r="F18" s="41">
        <v>270</v>
      </c>
      <c r="G18" s="20" t="s">
        <v>9</v>
      </c>
    </row>
    <row r="19" spans="1:7" x14ac:dyDescent="0.35">
      <c r="A19" s="41">
        <v>18</v>
      </c>
      <c r="B19" s="17" t="s">
        <v>45</v>
      </c>
      <c r="C19" s="17" t="s">
        <v>352</v>
      </c>
      <c r="D19" s="17" t="s">
        <v>353</v>
      </c>
      <c r="E19" s="18">
        <v>21204010</v>
      </c>
      <c r="F19" s="41">
        <v>200</v>
      </c>
      <c r="G19" s="20" t="s">
        <v>9</v>
      </c>
    </row>
    <row r="20" spans="1:7" x14ac:dyDescent="0.35">
      <c r="A20" s="41">
        <v>19</v>
      </c>
      <c r="B20" s="17" t="s">
        <v>45</v>
      </c>
      <c r="C20" s="17" t="s">
        <v>352</v>
      </c>
      <c r="D20" s="17" t="s">
        <v>353</v>
      </c>
      <c r="E20" s="18">
        <v>21204014</v>
      </c>
      <c r="F20" s="41">
        <v>205</v>
      </c>
      <c r="G20" s="20" t="s">
        <v>9</v>
      </c>
    </row>
    <row r="21" spans="1:7" x14ac:dyDescent="0.35">
      <c r="A21" s="41">
        <v>20</v>
      </c>
      <c r="B21" s="17" t="s">
        <v>45</v>
      </c>
      <c r="C21" s="17" t="s">
        <v>352</v>
      </c>
      <c r="D21" s="17" t="s">
        <v>354</v>
      </c>
      <c r="E21" s="18">
        <v>21201001</v>
      </c>
      <c r="F21" s="41">
        <v>222</v>
      </c>
      <c r="G21" s="20" t="s">
        <v>27</v>
      </c>
    </row>
    <row r="22" spans="1:7" x14ac:dyDescent="0.35">
      <c r="A22" s="41">
        <v>21</v>
      </c>
      <c r="B22" s="17" t="s">
        <v>45</v>
      </c>
      <c r="C22" s="17" t="s">
        <v>352</v>
      </c>
      <c r="D22" s="17" t="s">
        <v>354</v>
      </c>
      <c r="E22" s="18">
        <v>21201007</v>
      </c>
      <c r="F22" s="41">
        <v>205</v>
      </c>
      <c r="G22" s="20" t="s">
        <v>9</v>
      </c>
    </row>
    <row r="23" spans="1:7" x14ac:dyDescent="0.35">
      <c r="A23" s="41">
        <v>22</v>
      </c>
      <c r="B23" s="17" t="s">
        <v>45</v>
      </c>
      <c r="C23" s="17" t="s">
        <v>352</v>
      </c>
      <c r="D23" s="17" t="s">
        <v>354</v>
      </c>
      <c r="E23" s="18">
        <v>21201027</v>
      </c>
      <c r="F23" s="41">
        <v>209</v>
      </c>
      <c r="G23" s="20" t="s">
        <v>9</v>
      </c>
    </row>
    <row r="24" spans="1:7" x14ac:dyDescent="0.35">
      <c r="A24" s="41">
        <v>23</v>
      </c>
      <c r="B24" s="17" t="s">
        <v>45</v>
      </c>
      <c r="C24" s="17" t="s">
        <v>352</v>
      </c>
      <c r="D24" s="17" t="s">
        <v>113</v>
      </c>
      <c r="E24" s="18">
        <v>21202004</v>
      </c>
      <c r="F24" s="41">
        <v>204</v>
      </c>
      <c r="G24" s="20" t="s">
        <v>9</v>
      </c>
    </row>
    <row r="25" spans="1:7" x14ac:dyDescent="0.35">
      <c r="A25" s="41">
        <v>24</v>
      </c>
      <c r="B25" s="17" t="s">
        <v>45</v>
      </c>
      <c r="C25" s="17" t="s">
        <v>352</v>
      </c>
      <c r="D25" s="17" t="s">
        <v>113</v>
      </c>
      <c r="E25" s="18">
        <v>21202010</v>
      </c>
      <c r="F25" s="41">
        <v>202</v>
      </c>
      <c r="G25" s="20" t="s">
        <v>9</v>
      </c>
    </row>
    <row r="26" spans="1:7" x14ac:dyDescent="0.35">
      <c r="A26" s="41">
        <v>25</v>
      </c>
      <c r="B26" s="17" t="s">
        <v>45</v>
      </c>
      <c r="C26" s="17" t="s">
        <v>352</v>
      </c>
      <c r="D26" s="17" t="s">
        <v>115</v>
      </c>
      <c r="E26" s="18">
        <v>21209005</v>
      </c>
      <c r="F26" s="41">
        <v>210</v>
      </c>
      <c r="G26" s="20" t="s">
        <v>9</v>
      </c>
    </row>
    <row r="27" spans="1:7" x14ac:dyDescent="0.35">
      <c r="A27" s="41">
        <v>26</v>
      </c>
      <c r="B27" s="17" t="s">
        <v>45</v>
      </c>
      <c r="C27" s="17" t="s">
        <v>352</v>
      </c>
      <c r="D27" s="17" t="s">
        <v>115</v>
      </c>
      <c r="E27" s="18">
        <v>21209018</v>
      </c>
      <c r="F27" s="41">
        <v>200</v>
      </c>
      <c r="G27" s="20" t="s">
        <v>9</v>
      </c>
    </row>
    <row r="28" spans="1:7" x14ac:dyDescent="0.35">
      <c r="A28" s="41">
        <v>27</v>
      </c>
      <c r="B28" s="17" t="s">
        <v>45</v>
      </c>
      <c r="C28" s="17" t="s">
        <v>355</v>
      </c>
      <c r="D28" s="17" t="s">
        <v>356</v>
      </c>
      <c r="E28" s="18">
        <v>29200003</v>
      </c>
      <c r="F28" s="41">
        <v>202</v>
      </c>
      <c r="G28" s="20" t="s">
        <v>9</v>
      </c>
    </row>
    <row r="29" spans="1:7" x14ac:dyDescent="0.35">
      <c r="A29" s="41">
        <v>28</v>
      </c>
      <c r="B29" s="17" t="s">
        <v>45</v>
      </c>
      <c r="C29" s="17" t="s">
        <v>355</v>
      </c>
      <c r="D29" s="17" t="s">
        <v>356</v>
      </c>
      <c r="E29" s="18">
        <v>29200009</v>
      </c>
      <c r="F29" s="41">
        <v>207</v>
      </c>
      <c r="G29" s="20" t="s">
        <v>9</v>
      </c>
    </row>
    <row r="30" spans="1:7" x14ac:dyDescent="0.35">
      <c r="A30" s="41">
        <v>29</v>
      </c>
      <c r="B30" s="17" t="s">
        <v>45</v>
      </c>
      <c r="C30" s="17" t="s">
        <v>355</v>
      </c>
      <c r="D30" s="17" t="s">
        <v>356</v>
      </c>
      <c r="E30" s="18">
        <v>29200016</v>
      </c>
      <c r="F30" s="41">
        <v>206</v>
      </c>
      <c r="G30" s="20" t="s">
        <v>9</v>
      </c>
    </row>
    <row r="31" spans="1:7" x14ac:dyDescent="0.35">
      <c r="A31" s="41">
        <v>30</v>
      </c>
      <c r="B31" s="17" t="s">
        <v>45</v>
      </c>
      <c r="C31" s="17" t="s">
        <v>355</v>
      </c>
      <c r="D31" s="17" t="s">
        <v>356</v>
      </c>
      <c r="E31" s="18">
        <v>29200031</v>
      </c>
      <c r="F31" s="41">
        <v>215</v>
      </c>
      <c r="G31" s="20" t="s">
        <v>9</v>
      </c>
    </row>
    <row r="32" spans="1:7" x14ac:dyDescent="0.35">
      <c r="A32" s="41">
        <v>31</v>
      </c>
      <c r="B32" s="17" t="s">
        <v>45</v>
      </c>
      <c r="C32" s="17" t="s">
        <v>355</v>
      </c>
      <c r="D32" s="17" t="s">
        <v>356</v>
      </c>
      <c r="E32" s="18">
        <v>29200046</v>
      </c>
      <c r="F32" s="41">
        <v>229</v>
      </c>
      <c r="G32" s="20" t="s">
        <v>9</v>
      </c>
    </row>
    <row r="33" spans="1:7" x14ac:dyDescent="0.35">
      <c r="A33" s="41">
        <v>32</v>
      </c>
      <c r="B33" s="17" t="s">
        <v>45</v>
      </c>
      <c r="C33" s="17" t="s">
        <v>355</v>
      </c>
      <c r="D33" s="17" t="s">
        <v>356</v>
      </c>
      <c r="E33" s="18">
        <v>29200047</v>
      </c>
      <c r="F33" s="41">
        <v>234</v>
      </c>
      <c r="G33" s="20" t="s">
        <v>9</v>
      </c>
    </row>
    <row r="34" spans="1:7" x14ac:dyDescent="0.35">
      <c r="A34" s="41">
        <v>33</v>
      </c>
      <c r="B34" s="17" t="s">
        <v>45</v>
      </c>
      <c r="C34" s="17" t="s">
        <v>355</v>
      </c>
      <c r="D34" s="17" t="s">
        <v>388</v>
      </c>
      <c r="E34" s="18">
        <v>29200035</v>
      </c>
      <c r="F34" s="41">
        <v>213</v>
      </c>
      <c r="G34" s="20" t="s">
        <v>9</v>
      </c>
    </row>
    <row r="35" spans="1:7" x14ac:dyDescent="0.35">
      <c r="A35" s="41">
        <v>34</v>
      </c>
      <c r="B35" s="17" t="s">
        <v>45</v>
      </c>
      <c r="C35" s="17" t="s">
        <v>355</v>
      </c>
      <c r="D35" s="17" t="s">
        <v>388</v>
      </c>
      <c r="E35" s="18">
        <v>29200039</v>
      </c>
      <c r="F35" s="41">
        <v>222</v>
      </c>
      <c r="G35" s="20" t="s">
        <v>9</v>
      </c>
    </row>
    <row r="36" spans="1:7" x14ac:dyDescent="0.35">
      <c r="A36" s="41">
        <v>35</v>
      </c>
      <c r="B36" s="17" t="s">
        <v>45</v>
      </c>
      <c r="C36" s="17" t="s">
        <v>355</v>
      </c>
      <c r="D36" s="17" t="s">
        <v>388</v>
      </c>
      <c r="E36" s="18">
        <v>29200043</v>
      </c>
      <c r="F36" s="41">
        <v>218</v>
      </c>
      <c r="G36" s="20" t="s">
        <v>9</v>
      </c>
    </row>
    <row r="37" spans="1:7" x14ac:dyDescent="0.35">
      <c r="A37" s="41">
        <v>36</v>
      </c>
      <c r="B37" s="17" t="s">
        <v>45</v>
      </c>
      <c r="C37" s="17" t="s">
        <v>355</v>
      </c>
      <c r="D37" s="17" t="s">
        <v>357</v>
      </c>
      <c r="E37" s="18">
        <v>29200011</v>
      </c>
      <c r="F37" s="41">
        <v>261</v>
      </c>
      <c r="G37" s="20" t="s">
        <v>9</v>
      </c>
    </row>
    <row r="38" spans="1:7" x14ac:dyDescent="0.35">
      <c r="A38" s="41">
        <v>37</v>
      </c>
      <c r="B38" s="17" t="s">
        <v>45</v>
      </c>
      <c r="C38" s="17" t="s">
        <v>355</v>
      </c>
      <c r="D38" s="17" t="s">
        <v>357</v>
      </c>
      <c r="E38" s="18">
        <v>29200012</v>
      </c>
      <c r="F38" s="41">
        <v>224</v>
      </c>
      <c r="G38" s="20" t="s">
        <v>9</v>
      </c>
    </row>
    <row r="39" spans="1:7" x14ac:dyDescent="0.35">
      <c r="A39" s="41">
        <v>38</v>
      </c>
      <c r="B39" s="17" t="s">
        <v>45</v>
      </c>
      <c r="C39" s="17" t="s">
        <v>355</v>
      </c>
      <c r="D39" s="17" t="s">
        <v>357</v>
      </c>
      <c r="E39" s="18">
        <v>29200014</v>
      </c>
      <c r="F39" s="41">
        <v>226</v>
      </c>
      <c r="G39" s="20" t="s">
        <v>9</v>
      </c>
    </row>
    <row r="40" spans="1:7" x14ac:dyDescent="0.35">
      <c r="A40" s="41">
        <v>39</v>
      </c>
      <c r="B40" s="17" t="s">
        <v>45</v>
      </c>
      <c r="C40" s="17" t="s">
        <v>355</v>
      </c>
      <c r="D40" s="17" t="s">
        <v>357</v>
      </c>
      <c r="E40" s="18">
        <v>29200017</v>
      </c>
      <c r="F40" s="41">
        <v>206</v>
      </c>
      <c r="G40" s="20" t="s">
        <v>9</v>
      </c>
    </row>
    <row r="41" spans="1:7" x14ac:dyDescent="0.35">
      <c r="A41" s="41">
        <v>40</v>
      </c>
      <c r="B41" s="17" t="s">
        <v>45</v>
      </c>
      <c r="C41" s="17" t="s">
        <v>355</v>
      </c>
      <c r="D41" s="17" t="s">
        <v>357</v>
      </c>
      <c r="E41" s="18">
        <v>29200021</v>
      </c>
      <c r="F41" s="41">
        <v>223</v>
      </c>
      <c r="G41" s="20" t="s">
        <v>9</v>
      </c>
    </row>
    <row r="42" spans="1:7" x14ac:dyDescent="0.35">
      <c r="A42" s="41">
        <v>41</v>
      </c>
      <c r="B42" s="17" t="s">
        <v>45</v>
      </c>
      <c r="C42" s="17" t="s">
        <v>355</v>
      </c>
      <c r="D42" s="17" t="s">
        <v>357</v>
      </c>
      <c r="E42" s="18">
        <v>29200022</v>
      </c>
      <c r="F42" s="41">
        <v>206</v>
      </c>
      <c r="G42" s="20" t="s">
        <v>9</v>
      </c>
    </row>
    <row r="43" spans="1:7" x14ac:dyDescent="0.35">
      <c r="A43" s="41">
        <v>42</v>
      </c>
      <c r="B43" s="17" t="s">
        <v>45</v>
      </c>
      <c r="C43" s="17" t="s">
        <v>355</v>
      </c>
      <c r="D43" s="17" t="s">
        <v>357</v>
      </c>
      <c r="E43" s="18">
        <v>29200024</v>
      </c>
      <c r="F43" s="41">
        <v>230</v>
      </c>
      <c r="G43" s="20" t="s">
        <v>9</v>
      </c>
    </row>
    <row r="44" spans="1:7" x14ac:dyDescent="0.35">
      <c r="A44" s="41">
        <v>43</v>
      </c>
      <c r="B44" s="17" t="s">
        <v>45</v>
      </c>
      <c r="C44" s="17" t="s">
        <v>355</v>
      </c>
      <c r="D44" s="17" t="s">
        <v>357</v>
      </c>
      <c r="E44" s="18">
        <v>29200030</v>
      </c>
      <c r="F44" s="41">
        <v>222</v>
      </c>
      <c r="G44" s="20" t="s">
        <v>9</v>
      </c>
    </row>
    <row r="45" spans="1:7" x14ac:dyDescent="0.35">
      <c r="A45" s="41">
        <v>44</v>
      </c>
      <c r="B45" s="17" t="s">
        <v>45</v>
      </c>
      <c r="C45" s="17" t="s">
        <v>355</v>
      </c>
      <c r="D45" s="17" t="s">
        <v>357</v>
      </c>
      <c r="E45" s="18">
        <v>29200042</v>
      </c>
      <c r="F45" s="41">
        <v>256</v>
      </c>
      <c r="G45" s="20" t="s">
        <v>9</v>
      </c>
    </row>
    <row r="46" spans="1:7" x14ac:dyDescent="0.35">
      <c r="A46" s="41">
        <v>45</v>
      </c>
      <c r="B46" s="17" t="s">
        <v>45</v>
      </c>
      <c r="C46" s="17" t="s">
        <v>358</v>
      </c>
      <c r="D46" s="17" t="s">
        <v>72</v>
      </c>
      <c r="E46" s="18">
        <v>21306015</v>
      </c>
      <c r="F46" s="41">
        <v>219</v>
      </c>
      <c r="G46" s="20" t="s">
        <v>27</v>
      </c>
    </row>
    <row r="47" spans="1:7" x14ac:dyDescent="0.35">
      <c r="A47" s="41">
        <v>46</v>
      </c>
      <c r="B47" s="17" t="s">
        <v>45</v>
      </c>
      <c r="C47" s="17" t="s">
        <v>358</v>
      </c>
      <c r="D47" s="17" t="s">
        <v>120</v>
      </c>
      <c r="E47" s="18">
        <v>21309002</v>
      </c>
      <c r="F47" s="41">
        <v>211</v>
      </c>
      <c r="G47" s="20" t="s">
        <v>27</v>
      </c>
    </row>
    <row r="48" spans="1:7" x14ac:dyDescent="0.35">
      <c r="A48" s="41">
        <v>47</v>
      </c>
      <c r="B48" s="17" t="s">
        <v>45</v>
      </c>
      <c r="C48" s="17" t="s">
        <v>358</v>
      </c>
      <c r="D48" s="17" t="s">
        <v>120</v>
      </c>
      <c r="E48" s="18">
        <v>21309008</v>
      </c>
      <c r="F48" s="41">
        <v>200</v>
      </c>
      <c r="G48" s="20" t="s">
        <v>9</v>
      </c>
    </row>
    <row r="49" spans="1:7" x14ac:dyDescent="0.35">
      <c r="A49" s="41">
        <v>48</v>
      </c>
      <c r="B49" s="17" t="s">
        <v>45</v>
      </c>
      <c r="C49" s="17" t="s">
        <v>358</v>
      </c>
      <c r="D49" s="17" t="s">
        <v>120</v>
      </c>
      <c r="E49" s="18">
        <v>21309018</v>
      </c>
      <c r="F49" s="41">
        <v>200</v>
      </c>
      <c r="G49" s="20" t="s">
        <v>9</v>
      </c>
    </row>
    <row r="50" spans="1:7" x14ac:dyDescent="0.35">
      <c r="A50" s="41">
        <v>49</v>
      </c>
      <c r="B50" s="17" t="s">
        <v>45</v>
      </c>
      <c r="C50" s="17" t="s">
        <v>358</v>
      </c>
      <c r="D50" s="17" t="s">
        <v>117</v>
      </c>
      <c r="E50" s="18">
        <v>21305004</v>
      </c>
      <c r="F50" s="41">
        <v>201</v>
      </c>
      <c r="G50" s="20" t="s">
        <v>9</v>
      </c>
    </row>
    <row r="51" spans="1:7" x14ac:dyDescent="0.35">
      <c r="A51" s="41">
        <v>50</v>
      </c>
      <c r="B51" s="17" t="s">
        <v>45</v>
      </c>
      <c r="C51" s="17" t="s">
        <v>358</v>
      </c>
      <c r="D51" s="17" t="s">
        <v>117</v>
      </c>
      <c r="E51" s="18">
        <v>21305008</v>
      </c>
      <c r="F51" s="41">
        <v>215</v>
      </c>
      <c r="G51" s="20" t="s">
        <v>9</v>
      </c>
    </row>
    <row r="52" spans="1:7" x14ac:dyDescent="0.35">
      <c r="A52" s="41">
        <v>51</v>
      </c>
      <c r="B52" s="17" t="s">
        <v>45</v>
      </c>
      <c r="C52" s="17" t="s">
        <v>358</v>
      </c>
      <c r="D52" s="17" t="s">
        <v>116</v>
      </c>
      <c r="E52" s="18">
        <v>21301009</v>
      </c>
      <c r="F52" s="41">
        <v>201</v>
      </c>
      <c r="G52" s="20" t="s">
        <v>9</v>
      </c>
    </row>
    <row r="53" spans="1:7" x14ac:dyDescent="0.35">
      <c r="A53" s="41">
        <v>52</v>
      </c>
      <c r="B53" s="17" t="s">
        <v>45</v>
      </c>
      <c r="C53" s="17" t="s">
        <v>359</v>
      </c>
      <c r="D53" s="17" t="s">
        <v>121</v>
      </c>
      <c r="E53" s="18">
        <v>21401009</v>
      </c>
      <c r="F53" s="41">
        <v>201</v>
      </c>
      <c r="G53" s="20" t="s">
        <v>9</v>
      </c>
    </row>
    <row r="54" spans="1:7" x14ac:dyDescent="0.35">
      <c r="A54" s="41">
        <v>53</v>
      </c>
      <c r="B54" s="17" t="s">
        <v>45</v>
      </c>
      <c r="C54" s="17" t="s">
        <v>359</v>
      </c>
      <c r="D54" s="17" t="s">
        <v>123</v>
      </c>
      <c r="E54" s="18">
        <v>21405007</v>
      </c>
      <c r="F54" s="41">
        <v>203</v>
      </c>
      <c r="G54" s="20" t="s">
        <v>9</v>
      </c>
    </row>
    <row r="55" spans="1:7" x14ac:dyDescent="0.35">
      <c r="A55" s="41">
        <v>54</v>
      </c>
      <c r="B55" s="17" t="s">
        <v>45</v>
      </c>
      <c r="C55" s="17" t="s">
        <v>359</v>
      </c>
      <c r="D55" s="17" t="s">
        <v>123</v>
      </c>
      <c r="E55" s="18">
        <v>21405008</v>
      </c>
      <c r="F55" s="41">
        <v>203</v>
      </c>
      <c r="G55" s="20" t="s">
        <v>9</v>
      </c>
    </row>
    <row r="56" spans="1:7" x14ac:dyDescent="0.35">
      <c r="A56" s="41">
        <v>55</v>
      </c>
      <c r="B56" s="17" t="s">
        <v>45</v>
      </c>
      <c r="C56" s="17" t="s">
        <v>359</v>
      </c>
      <c r="D56" s="17" t="s">
        <v>123</v>
      </c>
      <c r="E56" s="18">
        <v>21405009</v>
      </c>
      <c r="F56" s="41">
        <v>200</v>
      </c>
      <c r="G56" s="20" t="s">
        <v>9</v>
      </c>
    </row>
    <row r="57" spans="1:7" x14ac:dyDescent="0.35">
      <c r="A57" s="41">
        <v>56</v>
      </c>
      <c r="B57" s="17" t="s">
        <v>45</v>
      </c>
      <c r="C57" s="17" t="s">
        <v>359</v>
      </c>
      <c r="D57" s="17" t="s">
        <v>123</v>
      </c>
      <c r="E57" s="18">
        <v>21405010</v>
      </c>
      <c r="F57" s="41">
        <v>226</v>
      </c>
      <c r="G57" s="20" t="s">
        <v>9</v>
      </c>
    </row>
    <row r="58" spans="1:7" x14ac:dyDescent="0.35">
      <c r="A58" s="41">
        <v>57</v>
      </c>
      <c r="B58" s="17" t="s">
        <v>45</v>
      </c>
      <c r="C58" s="17" t="s">
        <v>359</v>
      </c>
      <c r="D58" s="17" t="s">
        <v>123</v>
      </c>
      <c r="E58" s="18">
        <v>21405011</v>
      </c>
      <c r="F58" s="41">
        <v>240</v>
      </c>
      <c r="G58" s="20" t="s">
        <v>9</v>
      </c>
    </row>
    <row r="59" spans="1:7" x14ac:dyDescent="0.35">
      <c r="A59" s="41">
        <v>58</v>
      </c>
      <c r="B59" s="17" t="s">
        <v>45</v>
      </c>
      <c r="C59" s="17" t="s">
        <v>91</v>
      </c>
      <c r="D59" s="17" t="s">
        <v>360</v>
      </c>
      <c r="E59" s="18">
        <v>29300025</v>
      </c>
      <c r="F59" s="41">
        <v>200</v>
      </c>
      <c r="G59" s="20" t="s">
        <v>9</v>
      </c>
    </row>
    <row r="60" spans="1:7" x14ac:dyDescent="0.35">
      <c r="A60" s="41">
        <v>59</v>
      </c>
      <c r="B60" s="17" t="s">
        <v>45</v>
      </c>
      <c r="C60" s="17" t="s">
        <v>91</v>
      </c>
      <c r="D60" s="17" t="s">
        <v>360</v>
      </c>
      <c r="E60" s="18">
        <v>29300026</v>
      </c>
      <c r="F60" s="41">
        <v>229</v>
      </c>
      <c r="G60" s="20" t="s">
        <v>9</v>
      </c>
    </row>
    <row r="61" spans="1:7" x14ac:dyDescent="0.35">
      <c r="A61" s="41">
        <v>60</v>
      </c>
      <c r="B61" s="17" t="s">
        <v>45</v>
      </c>
      <c r="C61" s="17" t="s">
        <v>91</v>
      </c>
      <c r="D61" s="17" t="s">
        <v>360</v>
      </c>
      <c r="E61" s="18">
        <v>29300027</v>
      </c>
      <c r="F61" s="41">
        <v>215</v>
      </c>
      <c r="G61" s="20" t="s">
        <v>9</v>
      </c>
    </row>
    <row r="62" spans="1:7" x14ac:dyDescent="0.35">
      <c r="A62" s="41">
        <v>61</v>
      </c>
      <c r="B62" s="17" t="s">
        <v>45</v>
      </c>
      <c r="C62" s="17" t="s">
        <v>91</v>
      </c>
      <c r="D62" s="17" t="s">
        <v>360</v>
      </c>
      <c r="E62" s="18">
        <v>29300036</v>
      </c>
      <c r="F62" s="41">
        <v>214</v>
      </c>
      <c r="G62" s="20" t="s">
        <v>9</v>
      </c>
    </row>
    <row r="63" spans="1:7" x14ac:dyDescent="0.35">
      <c r="A63" s="41">
        <v>62</v>
      </c>
      <c r="B63" s="17" t="s">
        <v>45</v>
      </c>
      <c r="C63" s="17" t="s">
        <v>91</v>
      </c>
      <c r="D63" s="17" t="s">
        <v>361</v>
      </c>
      <c r="E63" s="18">
        <v>29300017</v>
      </c>
      <c r="F63" s="41">
        <v>225</v>
      </c>
      <c r="G63" s="20" t="s">
        <v>9</v>
      </c>
    </row>
    <row r="64" spans="1:7" x14ac:dyDescent="0.35">
      <c r="A64" s="41">
        <v>63</v>
      </c>
      <c r="B64" s="17" t="s">
        <v>45</v>
      </c>
      <c r="C64" s="17" t="s">
        <v>91</v>
      </c>
      <c r="D64" s="17" t="s">
        <v>361</v>
      </c>
      <c r="E64" s="18">
        <v>29300019</v>
      </c>
      <c r="F64" s="41">
        <v>212</v>
      </c>
      <c r="G64" s="20" t="s">
        <v>9</v>
      </c>
    </row>
    <row r="65" spans="1:7" x14ac:dyDescent="0.35">
      <c r="A65" s="41">
        <v>64</v>
      </c>
      <c r="B65" s="17" t="s">
        <v>45</v>
      </c>
      <c r="C65" s="17" t="s">
        <v>91</v>
      </c>
      <c r="D65" s="17" t="s">
        <v>361</v>
      </c>
      <c r="E65" s="18">
        <v>29300020</v>
      </c>
      <c r="F65" s="41">
        <v>200</v>
      </c>
      <c r="G65" s="20" t="s">
        <v>9</v>
      </c>
    </row>
    <row r="66" spans="1:7" x14ac:dyDescent="0.35">
      <c r="A66" s="41">
        <v>65</v>
      </c>
      <c r="B66" s="17" t="s">
        <v>45</v>
      </c>
      <c r="C66" s="17" t="s">
        <v>91</v>
      </c>
      <c r="D66" s="17" t="s">
        <v>389</v>
      </c>
      <c r="E66" s="18">
        <v>29300029</v>
      </c>
      <c r="F66" s="41">
        <v>250</v>
      </c>
      <c r="G66" s="20" t="s">
        <v>27</v>
      </c>
    </row>
    <row r="67" spans="1:7" x14ac:dyDescent="0.35">
      <c r="A67" s="41">
        <v>66</v>
      </c>
      <c r="B67" s="17" t="s">
        <v>45</v>
      </c>
      <c r="C67" s="17" t="s">
        <v>91</v>
      </c>
      <c r="D67" s="17" t="s">
        <v>389</v>
      </c>
      <c r="E67" s="18">
        <v>29300038</v>
      </c>
      <c r="F67" s="41">
        <v>205</v>
      </c>
      <c r="G67" s="20" t="s">
        <v>27</v>
      </c>
    </row>
    <row r="68" spans="1:7" x14ac:dyDescent="0.35">
      <c r="A68" s="41">
        <v>67</v>
      </c>
      <c r="B68" s="17" t="s">
        <v>45</v>
      </c>
      <c r="C68" s="17" t="s">
        <v>91</v>
      </c>
      <c r="D68" s="17" t="s">
        <v>362</v>
      </c>
      <c r="E68" s="18">
        <v>29300001</v>
      </c>
      <c r="F68" s="41">
        <v>227</v>
      </c>
      <c r="G68" s="20" t="s">
        <v>9</v>
      </c>
    </row>
    <row r="69" spans="1:7" x14ac:dyDescent="0.35">
      <c r="A69" s="41">
        <v>68</v>
      </c>
      <c r="B69" s="17" t="s">
        <v>45</v>
      </c>
      <c r="C69" s="17" t="s">
        <v>91</v>
      </c>
      <c r="D69" s="17" t="s">
        <v>362</v>
      </c>
      <c r="E69" s="18">
        <v>29300004</v>
      </c>
      <c r="F69" s="41">
        <v>201</v>
      </c>
      <c r="G69" s="20" t="s">
        <v>9</v>
      </c>
    </row>
    <row r="70" spans="1:7" x14ac:dyDescent="0.35">
      <c r="A70" s="41">
        <v>69</v>
      </c>
      <c r="B70" s="17" t="s">
        <v>45</v>
      </c>
      <c r="C70" s="17" t="s">
        <v>91</v>
      </c>
      <c r="D70" s="17" t="s">
        <v>362</v>
      </c>
      <c r="E70" s="18">
        <v>29300005</v>
      </c>
      <c r="F70" s="41">
        <v>223</v>
      </c>
      <c r="G70" s="20" t="s">
        <v>9</v>
      </c>
    </row>
    <row r="71" spans="1:7" x14ac:dyDescent="0.35">
      <c r="A71" s="41">
        <v>70</v>
      </c>
      <c r="B71" s="17" t="s">
        <v>45</v>
      </c>
      <c r="C71" s="17" t="s">
        <v>91</v>
      </c>
      <c r="D71" s="17" t="s">
        <v>362</v>
      </c>
      <c r="E71" s="18">
        <v>29300040</v>
      </c>
      <c r="F71" s="41">
        <v>219</v>
      </c>
      <c r="G71" s="20" t="s">
        <v>27</v>
      </c>
    </row>
    <row r="72" spans="1:7" x14ac:dyDescent="0.35">
      <c r="A72" s="41">
        <v>71</v>
      </c>
      <c r="B72" s="17" t="s">
        <v>45</v>
      </c>
      <c r="C72" s="17" t="s">
        <v>91</v>
      </c>
      <c r="D72" s="17" t="s">
        <v>92</v>
      </c>
      <c r="E72" s="18">
        <v>29300044</v>
      </c>
      <c r="F72" s="41">
        <v>205</v>
      </c>
      <c r="G72" s="20" t="s">
        <v>9</v>
      </c>
    </row>
    <row r="73" spans="1:7" x14ac:dyDescent="0.35">
      <c r="A73" s="41">
        <v>72</v>
      </c>
      <c r="B73" s="17" t="s">
        <v>45</v>
      </c>
      <c r="C73" s="17" t="s">
        <v>91</v>
      </c>
      <c r="D73" s="17" t="s">
        <v>92</v>
      </c>
      <c r="E73" s="18">
        <v>29300050</v>
      </c>
      <c r="F73" s="41">
        <v>200</v>
      </c>
      <c r="G73" s="20" t="s">
        <v>9</v>
      </c>
    </row>
    <row r="74" spans="1:7" x14ac:dyDescent="0.35">
      <c r="A74" s="41">
        <v>73</v>
      </c>
      <c r="B74" s="17" t="s">
        <v>45</v>
      </c>
      <c r="C74" s="17" t="s">
        <v>91</v>
      </c>
      <c r="D74" s="17" t="s">
        <v>92</v>
      </c>
      <c r="E74" s="18">
        <v>29300052</v>
      </c>
      <c r="F74" s="41">
        <v>211</v>
      </c>
      <c r="G74" s="20" t="s">
        <v>27</v>
      </c>
    </row>
    <row r="75" spans="1:7" x14ac:dyDescent="0.35">
      <c r="A75" s="41">
        <v>74</v>
      </c>
      <c r="B75" s="17" t="s">
        <v>45</v>
      </c>
      <c r="C75" s="17" t="s">
        <v>91</v>
      </c>
      <c r="D75" s="17" t="s">
        <v>133</v>
      </c>
      <c r="E75" s="18">
        <v>29300053</v>
      </c>
      <c r="F75" s="41">
        <v>200</v>
      </c>
      <c r="G75" s="20" t="s">
        <v>9</v>
      </c>
    </row>
    <row r="76" spans="1:7" x14ac:dyDescent="0.35">
      <c r="A76" s="41">
        <v>75</v>
      </c>
      <c r="B76" s="17" t="s">
        <v>45</v>
      </c>
      <c r="C76" s="17" t="s">
        <v>91</v>
      </c>
      <c r="D76" s="17" t="s">
        <v>133</v>
      </c>
      <c r="E76" s="18">
        <v>29300054</v>
      </c>
      <c r="F76" s="41">
        <v>200</v>
      </c>
      <c r="G76" s="20" t="s">
        <v>9</v>
      </c>
    </row>
    <row r="77" spans="1:7" x14ac:dyDescent="0.35">
      <c r="A77" s="41">
        <v>76</v>
      </c>
      <c r="B77" s="17" t="s">
        <v>45</v>
      </c>
      <c r="C77" s="17" t="s">
        <v>91</v>
      </c>
      <c r="D77" s="17" t="s">
        <v>133</v>
      </c>
      <c r="E77" s="18">
        <v>29300058</v>
      </c>
      <c r="F77" s="41">
        <v>201</v>
      </c>
      <c r="G77" s="20" t="s">
        <v>9</v>
      </c>
    </row>
    <row r="78" spans="1:7" x14ac:dyDescent="0.35">
      <c r="A78" s="41">
        <v>77</v>
      </c>
      <c r="B78" s="17" t="s">
        <v>45</v>
      </c>
      <c r="C78" s="17" t="s">
        <v>91</v>
      </c>
      <c r="D78" s="17" t="s">
        <v>133</v>
      </c>
      <c r="E78" s="18">
        <v>29300059</v>
      </c>
      <c r="F78" s="41">
        <v>213</v>
      </c>
      <c r="G78" s="20" t="s">
        <v>9</v>
      </c>
    </row>
    <row r="79" spans="1:7" x14ac:dyDescent="0.35">
      <c r="A79" s="41">
        <v>78</v>
      </c>
      <c r="B79" s="17" t="s">
        <v>45</v>
      </c>
      <c r="C79" s="17" t="s">
        <v>363</v>
      </c>
      <c r="D79" s="17" t="s">
        <v>127</v>
      </c>
      <c r="E79" s="18">
        <v>21507002</v>
      </c>
      <c r="F79" s="41">
        <v>200</v>
      </c>
      <c r="G79" s="20" t="s">
        <v>9</v>
      </c>
    </row>
    <row r="80" spans="1:7" x14ac:dyDescent="0.35">
      <c r="A80" s="41">
        <v>79</v>
      </c>
      <c r="B80" s="17" t="s">
        <v>45</v>
      </c>
      <c r="C80" s="17" t="s">
        <v>363</v>
      </c>
      <c r="D80" s="17" t="s">
        <v>127</v>
      </c>
      <c r="E80" s="18">
        <v>21507005</v>
      </c>
      <c r="F80" s="41">
        <v>210</v>
      </c>
      <c r="G80" s="20" t="s">
        <v>9</v>
      </c>
    </row>
    <row r="81" spans="1:7" x14ac:dyDescent="0.35">
      <c r="A81" s="41">
        <v>80</v>
      </c>
      <c r="B81" s="17" t="s">
        <v>45</v>
      </c>
      <c r="C81" s="17" t="s">
        <v>363</v>
      </c>
      <c r="D81" s="17" t="s">
        <v>127</v>
      </c>
      <c r="E81" s="18">
        <v>21507011</v>
      </c>
      <c r="F81" s="41">
        <v>203</v>
      </c>
      <c r="G81" s="20" t="s">
        <v>9</v>
      </c>
    </row>
    <row r="82" spans="1:7" x14ac:dyDescent="0.35">
      <c r="A82" s="41">
        <v>81</v>
      </c>
      <c r="B82" s="17" t="s">
        <v>45</v>
      </c>
      <c r="C82" s="17" t="s">
        <v>363</v>
      </c>
      <c r="D82" s="17" t="s">
        <v>127</v>
      </c>
      <c r="E82" s="18">
        <v>21507012</v>
      </c>
      <c r="F82" s="41">
        <v>203</v>
      </c>
      <c r="G82" s="20" t="s">
        <v>9</v>
      </c>
    </row>
    <row r="83" spans="1:7" x14ac:dyDescent="0.35">
      <c r="A83" s="41">
        <v>82</v>
      </c>
      <c r="B83" s="17" t="s">
        <v>45</v>
      </c>
      <c r="C83" s="17" t="s">
        <v>363</v>
      </c>
      <c r="D83" s="17" t="s">
        <v>127</v>
      </c>
      <c r="E83" s="18">
        <v>21507027</v>
      </c>
      <c r="F83" s="41">
        <v>200</v>
      </c>
      <c r="G83" s="20" t="s">
        <v>27</v>
      </c>
    </row>
    <row r="84" spans="1:7" x14ac:dyDescent="0.35">
      <c r="A84" s="41">
        <v>83</v>
      </c>
      <c r="B84" s="17" t="s">
        <v>45</v>
      </c>
      <c r="C84" s="17" t="s">
        <v>363</v>
      </c>
      <c r="D84" s="17" t="s">
        <v>127</v>
      </c>
      <c r="E84" s="18">
        <v>21507030</v>
      </c>
      <c r="F84" s="41">
        <v>223</v>
      </c>
      <c r="G84" s="20" t="s">
        <v>9</v>
      </c>
    </row>
    <row r="85" spans="1:7" x14ac:dyDescent="0.35">
      <c r="A85" s="41">
        <v>84</v>
      </c>
      <c r="B85" s="17" t="s">
        <v>45</v>
      </c>
      <c r="C85" s="17" t="s">
        <v>363</v>
      </c>
      <c r="D85" s="17" t="s">
        <v>127</v>
      </c>
      <c r="E85" s="18">
        <v>21507037</v>
      </c>
      <c r="F85" s="41">
        <v>201</v>
      </c>
      <c r="G85" s="20" t="s">
        <v>9</v>
      </c>
    </row>
    <row r="86" spans="1:7" x14ac:dyDescent="0.35">
      <c r="A86" s="41">
        <v>85</v>
      </c>
      <c r="B86" s="17" t="s">
        <v>45</v>
      </c>
      <c r="C86" s="17" t="s">
        <v>363</v>
      </c>
      <c r="D86" s="17" t="s">
        <v>126</v>
      </c>
      <c r="E86" s="18">
        <v>21506004</v>
      </c>
      <c r="F86" s="41">
        <v>208</v>
      </c>
      <c r="G86" s="20" t="s">
        <v>9</v>
      </c>
    </row>
    <row r="87" spans="1:7" x14ac:dyDescent="0.35">
      <c r="A87" s="41">
        <v>86</v>
      </c>
      <c r="B87" s="17" t="s">
        <v>45</v>
      </c>
      <c r="C87" s="17" t="s">
        <v>363</v>
      </c>
      <c r="D87" s="17" t="s">
        <v>126</v>
      </c>
      <c r="E87" s="18">
        <v>21506008</v>
      </c>
      <c r="F87" s="41">
        <v>200</v>
      </c>
      <c r="G87" s="20" t="s">
        <v>9</v>
      </c>
    </row>
    <row r="88" spans="1:7" x14ac:dyDescent="0.35">
      <c r="A88" s="41">
        <v>87</v>
      </c>
      <c r="B88" s="17" t="s">
        <v>45</v>
      </c>
      <c r="C88" s="17" t="s">
        <v>363</v>
      </c>
      <c r="D88" s="17" t="s">
        <v>126</v>
      </c>
      <c r="E88" s="18">
        <v>21506009</v>
      </c>
      <c r="F88" s="41">
        <v>200</v>
      </c>
      <c r="G88" s="20" t="s">
        <v>27</v>
      </c>
    </row>
    <row r="89" spans="1:7" x14ac:dyDescent="0.35">
      <c r="A89" s="41">
        <v>88</v>
      </c>
      <c r="B89" s="17" t="s">
        <v>45</v>
      </c>
      <c r="C89" s="17" t="s">
        <v>363</v>
      </c>
      <c r="D89" s="17" t="s">
        <v>126</v>
      </c>
      <c r="E89" s="18">
        <v>21506026</v>
      </c>
      <c r="F89" s="41">
        <v>206</v>
      </c>
      <c r="G89" s="20" t="s">
        <v>9</v>
      </c>
    </row>
    <row r="90" spans="1:7" x14ac:dyDescent="0.35">
      <c r="A90" s="41">
        <v>89</v>
      </c>
      <c r="B90" s="17" t="s">
        <v>45</v>
      </c>
      <c r="C90" s="17" t="s">
        <v>363</v>
      </c>
      <c r="D90" s="17" t="s">
        <v>124</v>
      </c>
      <c r="E90" s="18">
        <v>21503004</v>
      </c>
      <c r="F90" s="41">
        <v>206</v>
      </c>
      <c r="G90" s="20" t="s">
        <v>9</v>
      </c>
    </row>
    <row r="91" spans="1:7" x14ac:dyDescent="0.35">
      <c r="A91" s="41">
        <v>90</v>
      </c>
      <c r="B91" s="17" t="s">
        <v>45</v>
      </c>
      <c r="C91" s="17" t="s">
        <v>363</v>
      </c>
      <c r="D91" s="17" t="s">
        <v>124</v>
      </c>
      <c r="E91" s="18">
        <v>21503014</v>
      </c>
      <c r="F91" s="41">
        <v>219</v>
      </c>
      <c r="G91" s="20" t="s">
        <v>9</v>
      </c>
    </row>
    <row r="92" spans="1:7" x14ac:dyDescent="0.35">
      <c r="A92" s="41">
        <v>91</v>
      </c>
      <c r="B92" s="17" t="s">
        <v>45</v>
      </c>
      <c r="C92" s="17" t="s">
        <v>363</v>
      </c>
      <c r="D92" s="17" t="s">
        <v>124</v>
      </c>
      <c r="E92" s="18">
        <v>21503021</v>
      </c>
      <c r="F92" s="41">
        <v>207</v>
      </c>
      <c r="G92" s="20" t="s">
        <v>27</v>
      </c>
    </row>
    <row r="93" spans="1:7" x14ac:dyDescent="0.35">
      <c r="A93" s="41">
        <v>92</v>
      </c>
      <c r="B93" s="17" t="s">
        <v>45</v>
      </c>
      <c r="C93" s="17" t="s">
        <v>363</v>
      </c>
      <c r="D93" s="17" t="s">
        <v>124</v>
      </c>
      <c r="E93" s="18">
        <v>21503022</v>
      </c>
      <c r="F93" s="41">
        <v>263</v>
      </c>
      <c r="G93" s="20" t="s">
        <v>9</v>
      </c>
    </row>
    <row r="94" spans="1:7" x14ac:dyDescent="0.35">
      <c r="A94" s="41">
        <v>93</v>
      </c>
      <c r="B94" s="17" t="s">
        <v>45</v>
      </c>
      <c r="C94" s="17" t="s">
        <v>363</v>
      </c>
      <c r="D94" s="17" t="s">
        <v>124</v>
      </c>
      <c r="E94" s="18">
        <v>21503025</v>
      </c>
      <c r="F94" s="41">
        <v>201</v>
      </c>
      <c r="G94" s="20" t="s">
        <v>27</v>
      </c>
    </row>
    <row r="95" spans="1:7" x14ac:dyDescent="0.35">
      <c r="A95" s="41">
        <v>94</v>
      </c>
      <c r="B95" s="17" t="s">
        <v>45</v>
      </c>
      <c r="C95" s="17" t="s">
        <v>363</v>
      </c>
      <c r="D95" s="17" t="s">
        <v>124</v>
      </c>
      <c r="E95" s="18">
        <v>21503027</v>
      </c>
      <c r="F95" s="41">
        <v>227</v>
      </c>
      <c r="G95" s="20" t="s">
        <v>27</v>
      </c>
    </row>
    <row r="96" spans="1:7" x14ac:dyDescent="0.35">
      <c r="A96" s="41">
        <v>95</v>
      </c>
      <c r="B96" s="17" t="s">
        <v>45</v>
      </c>
      <c r="C96" s="17" t="s">
        <v>363</v>
      </c>
      <c r="D96" s="17" t="s">
        <v>128</v>
      </c>
      <c r="E96" s="18">
        <v>21505004</v>
      </c>
      <c r="F96" s="41">
        <v>201</v>
      </c>
      <c r="G96" s="20" t="s">
        <v>9</v>
      </c>
    </row>
    <row r="97" spans="1:7" x14ac:dyDescent="0.35">
      <c r="A97" s="41">
        <v>96</v>
      </c>
      <c r="B97" s="17" t="s">
        <v>45</v>
      </c>
      <c r="C97" s="17" t="s">
        <v>363</v>
      </c>
      <c r="D97" s="17" t="s">
        <v>128</v>
      </c>
      <c r="E97" s="18">
        <v>21505005</v>
      </c>
      <c r="F97" s="41">
        <v>210</v>
      </c>
      <c r="G97" s="20" t="s">
        <v>27</v>
      </c>
    </row>
    <row r="98" spans="1:7" x14ac:dyDescent="0.35">
      <c r="A98" s="41">
        <v>97</v>
      </c>
      <c r="B98" s="17" t="s">
        <v>45</v>
      </c>
      <c r="C98" s="17" t="s">
        <v>363</v>
      </c>
      <c r="D98" s="17" t="s">
        <v>128</v>
      </c>
      <c r="E98" s="18">
        <v>21505006</v>
      </c>
      <c r="F98" s="41">
        <v>201</v>
      </c>
      <c r="G98" s="20" t="s">
        <v>9</v>
      </c>
    </row>
    <row r="99" spans="1:7" x14ac:dyDescent="0.35">
      <c r="A99" s="41">
        <v>98</v>
      </c>
      <c r="B99" s="17" t="s">
        <v>45</v>
      </c>
      <c r="C99" s="17" t="s">
        <v>363</v>
      </c>
      <c r="D99" s="17" t="s">
        <v>128</v>
      </c>
      <c r="E99" s="18">
        <v>21505008</v>
      </c>
      <c r="F99" s="41">
        <v>203</v>
      </c>
      <c r="G99" s="20" t="s">
        <v>9</v>
      </c>
    </row>
    <row r="100" spans="1:7" x14ac:dyDescent="0.35">
      <c r="A100" s="41">
        <v>99</v>
      </c>
      <c r="B100" s="17" t="s">
        <v>45</v>
      </c>
      <c r="C100" s="17" t="s">
        <v>363</v>
      </c>
      <c r="D100" s="17" t="s">
        <v>128</v>
      </c>
      <c r="E100" s="18">
        <v>21505010</v>
      </c>
      <c r="F100" s="41">
        <v>201</v>
      </c>
      <c r="G100" s="20" t="s">
        <v>9</v>
      </c>
    </row>
    <row r="101" spans="1:7" x14ac:dyDescent="0.35">
      <c r="A101" s="41">
        <v>100</v>
      </c>
      <c r="B101" s="17" t="s">
        <v>45</v>
      </c>
      <c r="C101" s="17" t="s">
        <v>363</v>
      </c>
      <c r="D101" s="17" t="s">
        <v>128</v>
      </c>
      <c r="E101" s="18">
        <v>21505011</v>
      </c>
      <c r="F101" s="41">
        <v>224</v>
      </c>
      <c r="G101" s="20" t="s">
        <v>9</v>
      </c>
    </row>
    <row r="102" spans="1:7" x14ac:dyDescent="0.35">
      <c r="A102" s="41">
        <v>101</v>
      </c>
      <c r="B102" s="17" t="s">
        <v>45</v>
      </c>
      <c r="C102" s="17" t="s">
        <v>363</v>
      </c>
      <c r="D102" s="17" t="s">
        <v>125</v>
      </c>
      <c r="E102" s="18">
        <v>21504002</v>
      </c>
      <c r="F102" s="41">
        <v>201</v>
      </c>
      <c r="G102" s="20" t="s">
        <v>27</v>
      </c>
    </row>
    <row r="103" spans="1:7" x14ac:dyDescent="0.35">
      <c r="A103" s="41">
        <v>102</v>
      </c>
      <c r="B103" s="17" t="s">
        <v>45</v>
      </c>
      <c r="C103" s="17" t="s">
        <v>363</v>
      </c>
      <c r="D103" s="17" t="s">
        <v>125</v>
      </c>
      <c r="E103" s="18">
        <v>21504004</v>
      </c>
      <c r="F103" s="41">
        <v>212</v>
      </c>
      <c r="G103" s="20" t="s">
        <v>9</v>
      </c>
    </row>
    <row r="104" spans="1:7" x14ac:dyDescent="0.35">
      <c r="A104" s="41">
        <v>103</v>
      </c>
      <c r="B104" s="17" t="s">
        <v>45</v>
      </c>
      <c r="C104" s="17" t="s">
        <v>364</v>
      </c>
      <c r="D104" s="17" t="s">
        <v>365</v>
      </c>
      <c r="E104" s="18">
        <v>21001001</v>
      </c>
      <c r="F104" s="41">
        <v>207</v>
      </c>
      <c r="G104" s="20" t="s">
        <v>27</v>
      </c>
    </row>
    <row r="105" spans="1:7" x14ac:dyDescent="0.35">
      <c r="A105" s="41">
        <v>104</v>
      </c>
      <c r="B105" s="17" t="s">
        <v>45</v>
      </c>
      <c r="C105" s="17" t="s">
        <v>364</v>
      </c>
      <c r="D105" s="17" t="s">
        <v>390</v>
      </c>
      <c r="E105" s="18">
        <v>21008014</v>
      </c>
      <c r="F105" s="41">
        <v>204</v>
      </c>
      <c r="G105" s="20" t="s">
        <v>27</v>
      </c>
    </row>
    <row r="106" spans="1:7" x14ac:dyDescent="0.35">
      <c r="A106" s="41">
        <v>105</v>
      </c>
      <c r="B106" s="17" t="s">
        <v>45</v>
      </c>
      <c r="C106" s="17" t="s">
        <v>364</v>
      </c>
      <c r="D106" s="17" t="s">
        <v>107</v>
      </c>
      <c r="E106" s="18">
        <v>21004001</v>
      </c>
      <c r="F106" s="41">
        <v>212</v>
      </c>
      <c r="G106" s="20" t="s">
        <v>9</v>
      </c>
    </row>
    <row r="107" spans="1:7" x14ac:dyDescent="0.35">
      <c r="A107" s="41">
        <v>106</v>
      </c>
      <c r="B107" s="17" t="s">
        <v>45</v>
      </c>
      <c r="C107" s="17" t="s">
        <v>364</v>
      </c>
      <c r="D107" s="17" t="s">
        <v>107</v>
      </c>
      <c r="E107" s="18">
        <v>21004003</v>
      </c>
      <c r="F107" s="41">
        <v>203</v>
      </c>
      <c r="G107" s="20" t="s">
        <v>27</v>
      </c>
    </row>
    <row r="108" spans="1:7" x14ac:dyDescent="0.35">
      <c r="A108" s="41">
        <v>107</v>
      </c>
      <c r="B108" s="17" t="s">
        <v>45</v>
      </c>
      <c r="C108" s="17" t="s">
        <v>364</v>
      </c>
      <c r="D108" s="17" t="s">
        <v>107</v>
      </c>
      <c r="E108" s="18">
        <v>21004012</v>
      </c>
      <c r="F108" s="41">
        <v>207</v>
      </c>
      <c r="G108" s="20" t="s">
        <v>9</v>
      </c>
    </row>
    <row r="109" spans="1:7" x14ac:dyDescent="0.35">
      <c r="A109" s="41">
        <v>108</v>
      </c>
      <c r="B109" s="17" t="s">
        <v>45</v>
      </c>
      <c r="C109" s="17" t="s">
        <v>364</v>
      </c>
      <c r="D109" s="17" t="s">
        <v>108</v>
      </c>
      <c r="E109" s="18">
        <v>21005004</v>
      </c>
      <c r="F109" s="41">
        <v>206</v>
      </c>
      <c r="G109" s="20" t="s">
        <v>9</v>
      </c>
    </row>
    <row r="110" spans="1:7" x14ac:dyDescent="0.35">
      <c r="A110" s="41">
        <v>109</v>
      </c>
      <c r="B110" s="17" t="s">
        <v>45</v>
      </c>
      <c r="C110" s="17" t="s">
        <v>364</v>
      </c>
      <c r="D110" s="17" t="s">
        <v>108</v>
      </c>
      <c r="E110" s="18">
        <v>21005008</v>
      </c>
      <c r="F110" s="41">
        <v>201</v>
      </c>
      <c r="G110" s="20" t="s">
        <v>9</v>
      </c>
    </row>
    <row r="111" spans="1:7" x14ac:dyDescent="0.35">
      <c r="A111" s="41">
        <v>110</v>
      </c>
      <c r="B111" s="17" t="s">
        <v>45</v>
      </c>
      <c r="C111" s="17" t="s">
        <v>364</v>
      </c>
      <c r="D111" s="17" t="s">
        <v>108</v>
      </c>
      <c r="E111" s="18">
        <v>21005009</v>
      </c>
      <c r="F111" s="41">
        <v>206</v>
      </c>
      <c r="G111" s="20" t="s">
        <v>9</v>
      </c>
    </row>
    <row r="112" spans="1:7" x14ac:dyDescent="0.35">
      <c r="A112" s="41">
        <v>111</v>
      </c>
      <c r="B112" s="17" t="s">
        <v>45</v>
      </c>
      <c r="C112" s="17" t="s">
        <v>364</v>
      </c>
      <c r="D112" s="17" t="s">
        <v>109</v>
      </c>
      <c r="E112" s="18">
        <v>21006003</v>
      </c>
      <c r="F112" s="41">
        <v>203</v>
      </c>
      <c r="G112" s="20" t="s">
        <v>27</v>
      </c>
    </row>
    <row r="113" spans="1:7" x14ac:dyDescent="0.35">
      <c r="A113" s="41">
        <v>112</v>
      </c>
      <c r="B113" s="17" t="s">
        <v>45</v>
      </c>
      <c r="C113" s="17" t="s">
        <v>364</v>
      </c>
      <c r="D113" s="17" t="s">
        <v>109</v>
      </c>
      <c r="E113" s="18">
        <v>21006006</v>
      </c>
      <c r="F113" s="41">
        <v>201</v>
      </c>
      <c r="G113" s="20" t="s">
        <v>27</v>
      </c>
    </row>
    <row r="114" spans="1:7" x14ac:dyDescent="0.35">
      <c r="A114" s="41">
        <v>113</v>
      </c>
      <c r="B114" s="16" t="s">
        <v>78</v>
      </c>
      <c r="C114" s="16" t="s">
        <v>328</v>
      </c>
      <c r="D114" s="16" t="s">
        <v>155</v>
      </c>
      <c r="E114" s="16">
        <v>42005003</v>
      </c>
      <c r="F114" s="42">
        <v>202</v>
      </c>
      <c r="G114" s="41" t="s">
        <v>9</v>
      </c>
    </row>
    <row r="115" spans="1:7" x14ac:dyDescent="0.35">
      <c r="A115" s="41">
        <v>114</v>
      </c>
      <c r="B115" s="16" t="s">
        <v>78</v>
      </c>
      <c r="C115" s="16" t="s">
        <v>328</v>
      </c>
      <c r="D115" s="16" t="s">
        <v>155</v>
      </c>
      <c r="E115" s="16">
        <v>42005009</v>
      </c>
      <c r="F115" s="42">
        <v>200</v>
      </c>
      <c r="G115" s="41" t="s">
        <v>9</v>
      </c>
    </row>
    <row r="116" spans="1:7" x14ac:dyDescent="0.35">
      <c r="A116" s="41">
        <v>115</v>
      </c>
      <c r="B116" s="16" t="s">
        <v>78</v>
      </c>
      <c r="C116" s="16" t="s">
        <v>328</v>
      </c>
      <c r="D116" s="16" t="s">
        <v>156</v>
      </c>
      <c r="E116" s="16">
        <v>42004001</v>
      </c>
      <c r="F116" s="42">
        <v>280</v>
      </c>
      <c r="G116" s="41" t="s">
        <v>9</v>
      </c>
    </row>
    <row r="117" spans="1:7" x14ac:dyDescent="0.35">
      <c r="A117" s="41">
        <v>116</v>
      </c>
      <c r="B117" s="16" t="s">
        <v>78</v>
      </c>
      <c r="C117" s="16" t="s">
        <v>328</v>
      </c>
      <c r="D117" s="16" t="s">
        <v>156</v>
      </c>
      <c r="E117" s="16">
        <v>42004002</v>
      </c>
      <c r="F117" s="43">
        <v>232</v>
      </c>
      <c r="G117" s="41" t="s">
        <v>9</v>
      </c>
    </row>
    <row r="118" spans="1:7" x14ac:dyDescent="0.35">
      <c r="A118" s="41">
        <v>117</v>
      </c>
      <c r="B118" s="16" t="s">
        <v>78</v>
      </c>
      <c r="C118" s="16" t="s">
        <v>328</v>
      </c>
      <c r="D118" s="16" t="s">
        <v>156</v>
      </c>
      <c r="E118" s="16">
        <v>42004003</v>
      </c>
      <c r="F118" s="42">
        <v>247</v>
      </c>
      <c r="G118" s="41" t="s">
        <v>9</v>
      </c>
    </row>
    <row r="119" spans="1:7" x14ac:dyDescent="0.35">
      <c r="A119" s="41">
        <v>118</v>
      </c>
      <c r="B119" s="16" t="s">
        <v>78</v>
      </c>
      <c r="C119" s="16" t="s">
        <v>328</v>
      </c>
      <c r="D119" s="16" t="s">
        <v>156</v>
      </c>
      <c r="E119" s="16">
        <v>42004004</v>
      </c>
      <c r="F119" s="43">
        <v>262</v>
      </c>
      <c r="G119" s="41" t="s">
        <v>9</v>
      </c>
    </row>
    <row r="120" spans="1:7" x14ac:dyDescent="0.35">
      <c r="A120" s="41">
        <v>119</v>
      </c>
      <c r="B120" s="16" t="s">
        <v>78</v>
      </c>
      <c r="C120" s="16" t="s">
        <v>328</v>
      </c>
      <c r="D120" s="16" t="s">
        <v>156</v>
      </c>
      <c r="E120" s="16">
        <v>42004005</v>
      </c>
      <c r="F120" s="42">
        <v>207</v>
      </c>
      <c r="G120" s="41" t="s">
        <v>9</v>
      </c>
    </row>
    <row r="121" spans="1:7" x14ac:dyDescent="0.35">
      <c r="A121" s="41">
        <v>120</v>
      </c>
      <c r="B121" s="16" t="s">
        <v>78</v>
      </c>
      <c r="C121" s="16" t="s">
        <v>328</v>
      </c>
      <c r="D121" s="16" t="s">
        <v>156</v>
      </c>
      <c r="E121" s="16">
        <v>42004008</v>
      </c>
      <c r="F121" s="43">
        <v>202</v>
      </c>
      <c r="G121" s="41" t="s">
        <v>9</v>
      </c>
    </row>
    <row r="122" spans="1:7" x14ac:dyDescent="0.35">
      <c r="A122" s="41">
        <v>121</v>
      </c>
      <c r="B122" s="16" t="s">
        <v>78</v>
      </c>
      <c r="C122" s="16" t="s">
        <v>328</v>
      </c>
      <c r="D122" s="16" t="s">
        <v>156</v>
      </c>
      <c r="E122" s="16">
        <v>42004009</v>
      </c>
      <c r="F122" s="42">
        <v>251</v>
      </c>
      <c r="G122" s="41" t="s">
        <v>9</v>
      </c>
    </row>
    <row r="123" spans="1:7" x14ac:dyDescent="0.35">
      <c r="A123" s="41">
        <v>122</v>
      </c>
      <c r="B123" s="16" t="s">
        <v>78</v>
      </c>
      <c r="C123" s="16" t="s">
        <v>328</v>
      </c>
      <c r="D123" s="16" t="s">
        <v>156</v>
      </c>
      <c r="E123" s="16">
        <v>42004010</v>
      </c>
      <c r="F123" s="43">
        <v>201</v>
      </c>
      <c r="G123" s="41" t="s">
        <v>9</v>
      </c>
    </row>
    <row r="124" spans="1:7" x14ac:dyDescent="0.35">
      <c r="A124" s="41">
        <v>123</v>
      </c>
      <c r="B124" s="16" t="s">
        <v>78</v>
      </c>
      <c r="C124" s="16" t="s">
        <v>328</v>
      </c>
      <c r="D124" s="16" t="s">
        <v>156</v>
      </c>
      <c r="E124" s="16">
        <v>42004013</v>
      </c>
      <c r="F124" s="42">
        <v>243</v>
      </c>
      <c r="G124" s="41" t="s">
        <v>9</v>
      </c>
    </row>
    <row r="125" spans="1:7" x14ac:dyDescent="0.35">
      <c r="A125" s="41">
        <v>124</v>
      </c>
      <c r="B125" s="16" t="s">
        <v>78</v>
      </c>
      <c r="C125" s="16" t="s">
        <v>328</v>
      </c>
      <c r="D125" s="16" t="s">
        <v>156</v>
      </c>
      <c r="E125" s="16">
        <v>42004020</v>
      </c>
      <c r="F125" s="43">
        <v>302</v>
      </c>
      <c r="G125" s="41" t="s">
        <v>9</v>
      </c>
    </row>
    <row r="126" spans="1:7" x14ac:dyDescent="0.35">
      <c r="A126" s="41">
        <v>125</v>
      </c>
      <c r="B126" s="16" t="s">
        <v>78</v>
      </c>
      <c r="C126" s="16" t="s">
        <v>328</v>
      </c>
      <c r="D126" s="16" t="s">
        <v>156</v>
      </c>
      <c r="E126" s="16">
        <v>42004021</v>
      </c>
      <c r="F126" s="42">
        <v>265</v>
      </c>
      <c r="G126" s="41" t="s">
        <v>9</v>
      </c>
    </row>
    <row r="127" spans="1:7" x14ac:dyDescent="0.35">
      <c r="A127" s="41">
        <v>126</v>
      </c>
      <c r="B127" s="16" t="s">
        <v>78</v>
      </c>
      <c r="C127" s="16" t="s">
        <v>328</v>
      </c>
      <c r="D127" s="16" t="s">
        <v>156</v>
      </c>
      <c r="E127" s="16">
        <v>42004023</v>
      </c>
      <c r="F127" s="42">
        <v>318</v>
      </c>
      <c r="G127" s="41" t="s">
        <v>9</v>
      </c>
    </row>
    <row r="128" spans="1:7" x14ac:dyDescent="0.35">
      <c r="A128" s="41">
        <v>127</v>
      </c>
      <c r="B128" s="16" t="s">
        <v>78</v>
      </c>
      <c r="C128" s="16" t="s">
        <v>328</v>
      </c>
      <c r="D128" s="16" t="s">
        <v>157</v>
      </c>
      <c r="E128" s="16">
        <v>42003006</v>
      </c>
      <c r="F128" s="43">
        <v>207</v>
      </c>
      <c r="G128" s="41" t="s">
        <v>9</v>
      </c>
    </row>
    <row r="129" spans="1:7" x14ac:dyDescent="0.35">
      <c r="A129" s="41">
        <v>128</v>
      </c>
      <c r="B129" s="32" t="s">
        <v>78</v>
      </c>
      <c r="C129" s="32" t="s">
        <v>328</v>
      </c>
      <c r="D129" s="32" t="s">
        <v>157</v>
      </c>
      <c r="E129" s="32">
        <v>42003009</v>
      </c>
      <c r="F129" s="42">
        <v>206</v>
      </c>
      <c r="G129" s="41" t="s">
        <v>9</v>
      </c>
    </row>
    <row r="130" spans="1:7" x14ac:dyDescent="0.35">
      <c r="A130" s="41">
        <v>129</v>
      </c>
      <c r="B130" s="16" t="s">
        <v>78</v>
      </c>
      <c r="C130" s="16" t="s">
        <v>329</v>
      </c>
      <c r="D130" s="16" t="s">
        <v>144</v>
      </c>
      <c r="E130" s="16">
        <v>41804006</v>
      </c>
      <c r="F130" s="43">
        <v>241</v>
      </c>
      <c r="G130" s="41" t="s">
        <v>9</v>
      </c>
    </row>
    <row r="131" spans="1:7" x14ac:dyDescent="0.35">
      <c r="A131" s="41">
        <v>130</v>
      </c>
      <c r="B131" s="16" t="s">
        <v>78</v>
      </c>
      <c r="C131" s="16" t="s">
        <v>329</v>
      </c>
      <c r="D131" s="16" t="s">
        <v>144</v>
      </c>
      <c r="E131" s="16">
        <v>41804033</v>
      </c>
      <c r="F131" s="42">
        <v>203</v>
      </c>
      <c r="G131" s="41" t="s">
        <v>9</v>
      </c>
    </row>
    <row r="132" spans="1:7" x14ac:dyDescent="0.35">
      <c r="A132" s="41">
        <v>131</v>
      </c>
      <c r="B132" s="16" t="s">
        <v>78</v>
      </c>
      <c r="C132" s="16" t="s">
        <v>329</v>
      </c>
      <c r="D132" s="16" t="s">
        <v>143</v>
      </c>
      <c r="E132" s="16">
        <v>41805005</v>
      </c>
      <c r="F132" s="42">
        <v>200</v>
      </c>
      <c r="G132" s="41" t="s">
        <v>9</v>
      </c>
    </row>
    <row r="133" spans="1:7" x14ac:dyDescent="0.35">
      <c r="A133" s="41">
        <v>132</v>
      </c>
      <c r="B133" s="16" t="s">
        <v>78</v>
      </c>
      <c r="C133" s="16" t="s">
        <v>329</v>
      </c>
      <c r="D133" s="16" t="s">
        <v>143</v>
      </c>
      <c r="E133" s="16">
        <v>41805009</v>
      </c>
      <c r="F133" s="42">
        <v>201</v>
      </c>
      <c r="G133" s="41" t="s">
        <v>9</v>
      </c>
    </row>
    <row r="134" spans="1:7" x14ac:dyDescent="0.35">
      <c r="A134" s="41">
        <v>133</v>
      </c>
      <c r="B134" s="16" t="s">
        <v>78</v>
      </c>
      <c r="C134" s="16" t="s">
        <v>329</v>
      </c>
      <c r="D134" s="16" t="s">
        <v>143</v>
      </c>
      <c r="E134" s="16">
        <v>41805011</v>
      </c>
      <c r="F134" s="42">
        <v>203</v>
      </c>
      <c r="G134" s="41" t="s">
        <v>9</v>
      </c>
    </row>
    <row r="135" spans="1:7" x14ac:dyDescent="0.35">
      <c r="A135" s="41">
        <v>134</v>
      </c>
      <c r="B135" s="16" t="s">
        <v>78</v>
      </c>
      <c r="C135" s="16" t="s">
        <v>329</v>
      </c>
      <c r="D135" s="16" t="s">
        <v>143</v>
      </c>
      <c r="E135" s="16">
        <v>41805012</v>
      </c>
      <c r="F135" s="43">
        <v>209</v>
      </c>
      <c r="G135" s="41" t="s">
        <v>9</v>
      </c>
    </row>
    <row r="136" spans="1:7" x14ac:dyDescent="0.35">
      <c r="A136" s="41">
        <v>135</v>
      </c>
      <c r="B136" s="16" t="s">
        <v>78</v>
      </c>
      <c r="C136" s="16" t="s">
        <v>329</v>
      </c>
      <c r="D136" s="16" t="s">
        <v>395</v>
      </c>
      <c r="E136" s="16">
        <v>41803002</v>
      </c>
      <c r="F136" s="43">
        <v>201</v>
      </c>
      <c r="G136" s="41" t="s">
        <v>27</v>
      </c>
    </row>
    <row r="137" spans="1:7" x14ac:dyDescent="0.35">
      <c r="A137" s="41">
        <v>136</v>
      </c>
      <c r="B137" s="16" t="s">
        <v>78</v>
      </c>
      <c r="C137" s="16" t="s">
        <v>396</v>
      </c>
      <c r="D137" s="16" t="s">
        <v>397</v>
      </c>
      <c r="E137" s="16">
        <v>49400001</v>
      </c>
      <c r="F137" s="42">
        <v>202</v>
      </c>
      <c r="G137" s="41" t="s">
        <v>9</v>
      </c>
    </row>
    <row r="138" spans="1:7" x14ac:dyDescent="0.35">
      <c r="A138" s="41">
        <v>137</v>
      </c>
      <c r="B138" s="16" t="s">
        <v>78</v>
      </c>
      <c r="C138" s="16" t="s">
        <v>396</v>
      </c>
      <c r="D138" s="16" t="s">
        <v>397</v>
      </c>
      <c r="E138" s="16">
        <v>49400010</v>
      </c>
      <c r="F138" s="43">
        <v>202</v>
      </c>
      <c r="G138" s="41" t="s">
        <v>9</v>
      </c>
    </row>
    <row r="139" spans="1:7" x14ac:dyDescent="0.35">
      <c r="A139" s="41">
        <v>138</v>
      </c>
      <c r="B139" s="16" t="s">
        <v>78</v>
      </c>
      <c r="C139" s="16" t="s">
        <v>396</v>
      </c>
      <c r="D139" s="16" t="s">
        <v>397</v>
      </c>
      <c r="E139" s="16">
        <v>49400017</v>
      </c>
      <c r="F139" s="42">
        <v>203</v>
      </c>
      <c r="G139" s="41" t="s">
        <v>9</v>
      </c>
    </row>
    <row r="140" spans="1:7" x14ac:dyDescent="0.35">
      <c r="A140" s="41">
        <v>139</v>
      </c>
      <c r="B140" s="16" t="s">
        <v>78</v>
      </c>
      <c r="C140" s="16" t="s">
        <v>396</v>
      </c>
      <c r="D140" s="16" t="s">
        <v>397</v>
      </c>
      <c r="E140" s="16">
        <v>49400046</v>
      </c>
      <c r="F140" s="43">
        <v>201</v>
      </c>
      <c r="G140" s="41" t="s">
        <v>9</v>
      </c>
    </row>
    <row r="141" spans="1:7" x14ac:dyDescent="0.35">
      <c r="A141" s="41">
        <v>140</v>
      </c>
      <c r="B141" s="16" t="s">
        <v>78</v>
      </c>
      <c r="C141" s="16" t="s">
        <v>396</v>
      </c>
      <c r="D141" s="16" t="s">
        <v>398</v>
      </c>
      <c r="E141" s="16">
        <v>49400049</v>
      </c>
      <c r="F141" s="42">
        <v>239</v>
      </c>
      <c r="G141" s="41" t="s">
        <v>9</v>
      </c>
    </row>
    <row r="142" spans="1:7" x14ac:dyDescent="0.35">
      <c r="A142" s="41">
        <v>141</v>
      </c>
      <c r="B142" s="16" t="s">
        <v>78</v>
      </c>
      <c r="C142" s="16" t="s">
        <v>330</v>
      </c>
      <c r="D142" s="16" t="s">
        <v>153</v>
      </c>
      <c r="E142" s="16">
        <v>41902002</v>
      </c>
      <c r="F142" s="43">
        <v>219</v>
      </c>
      <c r="G142" s="41" t="s">
        <v>9</v>
      </c>
    </row>
    <row r="143" spans="1:7" x14ac:dyDescent="0.35">
      <c r="A143" s="41">
        <v>142</v>
      </c>
      <c r="B143" s="16" t="s">
        <v>78</v>
      </c>
      <c r="C143" s="16" t="s">
        <v>330</v>
      </c>
      <c r="D143" s="16" t="s">
        <v>153</v>
      </c>
      <c r="E143" s="16">
        <v>41902003</v>
      </c>
      <c r="F143" s="42">
        <v>263</v>
      </c>
      <c r="G143" s="41" t="s">
        <v>27</v>
      </c>
    </row>
    <row r="144" spans="1:7" x14ac:dyDescent="0.35">
      <c r="A144" s="41">
        <v>143</v>
      </c>
      <c r="B144" s="16" t="s">
        <v>78</v>
      </c>
      <c r="C144" s="16" t="s">
        <v>330</v>
      </c>
      <c r="D144" s="16" t="s">
        <v>399</v>
      </c>
      <c r="E144" s="16">
        <v>41904002</v>
      </c>
      <c r="F144" s="43">
        <v>203</v>
      </c>
      <c r="G144" s="41" t="s">
        <v>27</v>
      </c>
    </row>
    <row r="145" spans="1:7" x14ac:dyDescent="0.35">
      <c r="A145" s="41">
        <v>144</v>
      </c>
      <c r="B145" s="16" t="s">
        <v>78</v>
      </c>
      <c r="C145" s="16" t="s">
        <v>330</v>
      </c>
      <c r="D145" s="16" t="s">
        <v>399</v>
      </c>
      <c r="E145" s="16">
        <v>41904015</v>
      </c>
      <c r="F145" s="42">
        <v>203</v>
      </c>
      <c r="G145" s="41" t="s">
        <v>27</v>
      </c>
    </row>
    <row r="146" spans="1:7" x14ac:dyDescent="0.35">
      <c r="A146" s="41">
        <v>145</v>
      </c>
      <c r="B146" s="16" t="s">
        <v>78</v>
      </c>
      <c r="C146" s="16" t="s">
        <v>330</v>
      </c>
      <c r="D146" s="16" t="s">
        <v>399</v>
      </c>
      <c r="E146" s="16">
        <v>41904016</v>
      </c>
      <c r="F146" s="43">
        <v>207</v>
      </c>
      <c r="G146" s="41" t="s">
        <v>9</v>
      </c>
    </row>
    <row r="147" spans="1:7" x14ac:dyDescent="0.35">
      <c r="A147" s="41">
        <v>146</v>
      </c>
      <c r="B147" s="16" t="s">
        <v>78</v>
      </c>
      <c r="C147" s="16" t="s">
        <v>330</v>
      </c>
      <c r="D147" s="16" t="s">
        <v>399</v>
      </c>
      <c r="E147" s="16">
        <v>41904018</v>
      </c>
      <c r="F147" s="43">
        <v>204</v>
      </c>
      <c r="G147" s="41" t="s">
        <v>27</v>
      </c>
    </row>
    <row r="148" spans="1:7" x14ac:dyDescent="0.35">
      <c r="A148" s="41">
        <v>147</v>
      </c>
      <c r="B148" s="16" t="s">
        <v>78</v>
      </c>
      <c r="C148" s="16" t="s">
        <v>330</v>
      </c>
      <c r="D148" s="16" t="s">
        <v>399</v>
      </c>
      <c r="E148" s="16">
        <v>41904024</v>
      </c>
      <c r="F148" s="43">
        <v>211</v>
      </c>
      <c r="G148" s="41" t="s">
        <v>9</v>
      </c>
    </row>
    <row r="149" spans="1:7" x14ac:dyDescent="0.35">
      <c r="A149" s="41">
        <v>148</v>
      </c>
      <c r="B149" s="16" t="s">
        <v>78</v>
      </c>
      <c r="C149" s="16" t="s">
        <v>330</v>
      </c>
      <c r="D149" s="16" t="s">
        <v>399</v>
      </c>
      <c r="E149" s="16">
        <v>41904025</v>
      </c>
      <c r="F149" s="42">
        <v>208</v>
      </c>
      <c r="G149" s="41" t="s">
        <v>9</v>
      </c>
    </row>
    <row r="150" spans="1:7" x14ac:dyDescent="0.35">
      <c r="A150" s="41">
        <v>149</v>
      </c>
      <c r="B150" s="16" t="s">
        <v>78</v>
      </c>
      <c r="C150" s="16" t="s">
        <v>330</v>
      </c>
      <c r="D150" s="16" t="s">
        <v>399</v>
      </c>
      <c r="E150" s="16">
        <v>41904027</v>
      </c>
      <c r="F150" s="42">
        <v>208</v>
      </c>
      <c r="G150" s="41" t="s">
        <v>9</v>
      </c>
    </row>
    <row r="151" spans="1:7" x14ac:dyDescent="0.35">
      <c r="A151" s="41">
        <v>150</v>
      </c>
      <c r="B151" s="16" t="s">
        <v>78</v>
      </c>
      <c r="C151" s="16" t="s">
        <v>330</v>
      </c>
      <c r="D151" s="16" t="s">
        <v>399</v>
      </c>
      <c r="E151" s="16">
        <v>41904030</v>
      </c>
      <c r="F151" s="43">
        <v>209</v>
      </c>
      <c r="G151" s="41" t="s">
        <v>9</v>
      </c>
    </row>
    <row r="152" spans="1:7" x14ac:dyDescent="0.35">
      <c r="A152" s="41">
        <v>151</v>
      </c>
      <c r="B152" s="16" t="s">
        <v>78</v>
      </c>
      <c r="C152" s="16" t="s">
        <v>330</v>
      </c>
      <c r="D152" s="16" t="s">
        <v>399</v>
      </c>
      <c r="E152" s="16">
        <v>41904032</v>
      </c>
      <c r="F152" s="43">
        <v>202</v>
      </c>
      <c r="G152" s="41" t="s">
        <v>9</v>
      </c>
    </row>
    <row r="153" spans="1:7" x14ac:dyDescent="0.35">
      <c r="A153" s="41">
        <v>152</v>
      </c>
      <c r="B153" s="16" t="s">
        <v>78</v>
      </c>
      <c r="C153" s="16" t="s">
        <v>330</v>
      </c>
      <c r="D153" s="16" t="s">
        <v>399</v>
      </c>
      <c r="E153" s="16">
        <v>41904035</v>
      </c>
      <c r="F153" s="42">
        <v>215</v>
      </c>
      <c r="G153" s="41" t="s">
        <v>9</v>
      </c>
    </row>
    <row r="154" spans="1:7" x14ac:dyDescent="0.35">
      <c r="A154" s="41">
        <v>153</v>
      </c>
      <c r="B154" s="16" t="s">
        <v>78</v>
      </c>
      <c r="C154" s="16" t="s">
        <v>330</v>
      </c>
      <c r="D154" s="16" t="s">
        <v>152</v>
      </c>
      <c r="E154" s="16">
        <v>41903007</v>
      </c>
      <c r="F154" s="42">
        <v>218</v>
      </c>
      <c r="G154" s="41" t="s">
        <v>9</v>
      </c>
    </row>
    <row r="155" spans="1:7" x14ac:dyDescent="0.35">
      <c r="A155" s="41">
        <v>154</v>
      </c>
      <c r="B155" s="16" t="s">
        <v>78</v>
      </c>
      <c r="C155" s="16" t="s">
        <v>331</v>
      </c>
      <c r="D155" s="16" t="s">
        <v>142</v>
      </c>
      <c r="E155" s="16">
        <v>41602005</v>
      </c>
      <c r="F155" s="42">
        <v>200</v>
      </c>
      <c r="G155" s="41" t="s">
        <v>9</v>
      </c>
    </row>
    <row r="156" spans="1:7" x14ac:dyDescent="0.35">
      <c r="A156" s="41">
        <v>155</v>
      </c>
      <c r="B156" s="16" t="s">
        <v>78</v>
      </c>
      <c r="C156" s="16" t="s">
        <v>331</v>
      </c>
      <c r="D156" s="16" t="s">
        <v>332</v>
      </c>
      <c r="E156" s="16">
        <v>41603001</v>
      </c>
      <c r="F156" s="42">
        <v>202</v>
      </c>
      <c r="G156" s="41" t="s">
        <v>9</v>
      </c>
    </row>
    <row r="157" spans="1:7" x14ac:dyDescent="0.35">
      <c r="A157" s="41">
        <v>156</v>
      </c>
      <c r="B157" s="16" t="s">
        <v>78</v>
      </c>
      <c r="C157" s="16" t="s">
        <v>331</v>
      </c>
      <c r="D157" s="16" t="s">
        <v>332</v>
      </c>
      <c r="E157" s="16">
        <v>41603006</v>
      </c>
      <c r="F157" s="43">
        <v>200</v>
      </c>
      <c r="G157" s="41" t="s">
        <v>9</v>
      </c>
    </row>
    <row r="158" spans="1:7" x14ac:dyDescent="0.35">
      <c r="A158" s="41">
        <v>157</v>
      </c>
      <c r="B158" s="16" t="s">
        <v>78</v>
      </c>
      <c r="C158" s="16" t="s">
        <v>331</v>
      </c>
      <c r="D158" s="16" t="s">
        <v>332</v>
      </c>
      <c r="E158" s="16">
        <v>41603007</v>
      </c>
      <c r="F158" s="42">
        <v>225</v>
      </c>
      <c r="G158" s="41" t="s">
        <v>9</v>
      </c>
    </row>
    <row r="159" spans="1:7" x14ac:dyDescent="0.35">
      <c r="A159" s="41">
        <v>158</v>
      </c>
      <c r="B159" s="17" t="s">
        <v>20</v>
      </c>
      <c r="C159" s="17" t="s">
        <v>21</v>
      </c>
      <c r="D159" s="17" t="s">
        <v>23</v>
      </c>
      <c r="E159" s="16">
        <v>79700021</v>
      </c>
      <c r="F159" s="41">
        <v>567</v>
      </c>
      <c r="G159" s="19" t="s">
        <v>9</v>
      </c>
    </row>
    <row r="160" spans="1:7" x14ac:dyDescent="0.35">
      <c r="A160" s="41">
        <v>159</v>
      </c>
      <c r="B160" s="17" t="s">
        <v>20</v>
      </c>
      <c r="C160" s="17" t="s">
        <v>21</v>
      </c>
      <c r="D160" s="17" t="s">
        <v>23</v>
      </c>
      <c r="E160" s="16">
        <v>79700033</v>
      </c>
      <c r="F160" s="41">
        <v>231</v>
      </c>
      <c r="G160" s="19" t="s">
        <v>9</v>
      </c>
    </row>
    <row r="161" spans="1:7" x14ac:dyDescent="0.35">
      <c r="A161" s="41">
        <v>160</v>
      </c>
      <c r="B161" s="17" t="s">
        <v>20</v>
      </c>
      <c r="C161" s="17" t="s">
        <v>21</v>
      </c>
      <c r="D161" s="17" t="s">
        <v>23</v>
      </c>
      <c r="E161" s="16">
        <v>79700034</v>
      </c>
      <c r="F161" s="41">
        <v>209</v>
      </c>
      <c r="G161" s="19" t="s">
        <v>27</v>
      </c>
    </row>
    <row r="162" spans="1:7" x14ac:dyDescent="0.35">
      <c r="A162" s="41">
        <v>161</v>
      </c>
      <c r="B162" s="17" t="s">
        <v>20</v>
      </c>
      <c r="C162" s="17" t="s">
        <v>21</v>
      </c>
      <c r="D162" s="17" t="s">
        <v>23</v>
      </c>
      <c r="E162" s="16">
        <v>79700035</v>
      </c>
      <c r="F162" s="41">
        <v>226</v>
      </c>
      <c r="G162" s="19" t="s">
        <v>9</v>
      </c>
    </row>
    <row r="163" spans="1:7" x14ac:dyDescent="0.35">
      <c r="A163" s="41">
        <v>162</v>
      </c>
      <c r="B163" s="17" t="s">
        <v>20</v>
      </c>
      <c r="C163" s="17" t="s">
        <v>21</v>
      </c>
      <c r="D163" s="17" t="s">
        <v>23</v>
      </c>
      <c r="E163" s="16">
        <v>79700039</v>
      </c>
      <c r="F163" s="41">
        <v>206</v>
      </c>
      <c r="G163" s="19" t="s">
        <v>27</v>
      </c>
    </row>
    <row r="164" spans="1:7" x14ac:dyDescent="0.35">
      <c r="A164" s="41">
        <v>163</v>
      </c>
      <c r="B164" s="17" t="s">
        <v>20</v>
      </c>
      <c r="C164" s="17" t="s">
        <v>21</v>
      </c>
      <c r="D164" s="17" t="s">
        <v>23</v>
      </c>
      <c r="E164" s="16">
        <v>79700042</v>
      </c>
      <c r="F164" s="41">
        <v>292</v>
      </c>
      <c r="G164" s="19" t="s">
        <v>9</v>
      </c>
    </row>
    <row r="165" spans="1:7" x14ac:dyDescent="0.35">
      <c r="A165" s="41">
        <v>164</v>
      </c>
      <c r="B165" s="17" t="s">
        <v>20</v>
      </c>
      <c r="C165" s="17" t="s">
        <v>21</v>
      </c>
      <c r="D165" s="17" t="s">
        <v>23</v>
      </c>
      <c r="E165" s="16">
        <v>79700092</v>
      </c>
      <c r="F165" s="41">
        <v>223</v>
      </c>
      <c r="G165" s="19" t="s">
        <v>27</v>
      </c>
    </row>
    <row r="166" spans="1:7" x14ac:dyDescent="0.35">
      <c r="A166" s="41">
        <v>165</v>
      </c>
      <c r="B166" s="17" t="s">
        <v>20</v>
      </c>
      <c r="C166" s="17" t="s">
        <v>21</v>
      </c>
      <c r="D166" s="17" t="s">
        <v>23</v>
      </c>
      <c r="E166" s="16">
        <v>79700093</v>
      </c>
      <c r="F166" s="41">
        <v>613</v>
      </c>
      <c r="G166" s="19" t="s">
        <v>9</v>
      </c>
    </row>
    <row r="167" spans="1:7" x14ac:dyDescent="0.35">
      <c r="A167" s="41">
        <v>166</v>
      </c>
      <c r="B167" s="17" t="s">
        <v>20</v>
      </c>
      <c r="C167" s="17" t="s">
        <v>21</v>
      </c>
      <c r="D167" s="17" t="s">
        <v>25</v>
      </c>
      <c r="E167" s="16">
        <v>79700026</v>
      </c>
      <c r="F167" s="41">
        <v>202</v>
      </c>
      <c r="G167" s="19" t="s">
        <v>9</v>
      </c>
    </row>
    <row r="168" spans="1:7" x14ac:dyDescent="0.35">
      <c r="A168" s="41">
        <v>167</v>
      </c>
      <c r="B168" s="17" t="s">
        <v>20</v>
      </c>
      <c r="C168" s="17" t="s">
        <v>21</v>
      </c>
      <c r="D168" s="17" t="s">
        <v>25</v>
      </c>
      <c r="E168" s="16">
        <v>79700068</v>
      </c>
      <c r="F168" s="41">
        <v>376</v>
      </c>
      <c r="G168" s="19" t="s">
        <v>9</v>
      </c>
    </row>
    <row r="169" spans="1:7" x14ac:dyDescent="0.35">
      <c r="A169" s="41">
        <v>168</v>
      </c>
      <c r="B169" s="17" t="s">
        <v>20</v>
      </c>
      <c r="C169" s="17" t="s">
        <v>21</v>
      </c>
      <c r="D169" s="17" t="s">
        <v>25</v>
      </c>
      <c r="E169" s="16">
        <v>79700069</v>
      </c>
      <c r="F169" s="41">
        <v>207</v>
      </c>
      <c r="G169" s="19" t="s">
        <v>9</v>
      </c>
    </row>
    <row r="170" spans="1:7" x14ac:dyDescent="0.35">
      <c r="A170" s="41">
        <v>169</v>
      </c>
      <c r="B170" s="17" t="s">
        <v>20</v>
      </c>
      <c r="C170" s="17" t="s">
        <v>21</v>
      </c>
      <c r="D170" s="17" t="s">
        <v>25</v>
      </c>
      <c r="E170" s="16">
        <v>79700070</v>
      </c>
      <c r="F170" s="41">
        <v>232</v>
      </c>
      <c r="G170" s="19" t="s">
        <v>9</v>
      </c>
    </row>
    <row r="171" spans="1:7" x14ac:dyDescent="0.35">
      <c r="A171" s="41">
        <v>170</v>
      </c>
      <c r="B171" s="17" t="s">
        <v>20</v>
      </c>
      <c r="C171" s="17" t="s">
        <v>21</v>
      </c>
      <c r="D171" s="17" t="s">
        <v>25</v>
      </c>
      <c r="E171" s="16">
        <v>79700071</v>
      </c>
      <c r="F171" s="41">
        <v>201</v>
      </c>
      <c r="G171" s="19" t="s">
        <v>9</v>
      </c>
    </row>
    <row r="172" spans="1:7" x14ac:dyDescent="0.35">
      <c r="A172" s="41">
        <v>171</v>
      </c>
      <c r="B172" s="17" t="s">
        <v>20</v>
      </c>
      <c r="C172" s="17" t="s">
        <v>21</v>
      </c>
      <c r="D172" s="17" t="s">
        <v>25</v>
      </c>
      <c r="E172" s="16">
        <v>79700096</v>
      </c>
      <c r="F172" s="41">
        <v>298</v>
      </c>
      <c r="G172" s="19" t="s">
        <v>9</v>
      </c>
    </row>
    <row r="173" spans="1:7" x14ac:dyDescent="0.35">
      <c r="A173" s="41">
        <v>172</v>
      </c>
      <c r="B173" s="17" t="s">
        <v>20</v>
      </c>
      <c r="C173" s="17" t="s">
        <v>21</v>
      </c>
      <c r="D173" s="17" t="s">
        <v>26</v>
      </c>
      <c r="E173" s="16">
        <v>79700074</v>
      </c>
      <c r="F173" s="41">
        <v>208</v>
      </c>
      <c r="G173" s="19" t="s">
        <v>27</v>
      </c>
    </row>
    <row r="174" spans="1:7" x14ac:dyDescent="0.35">
      <c r="A174" s="41">
        <v>173</v>
      </c>
      <c r="B174" s="17" t="s">
        <v>20</v>
      </c>
      <c r="C174" s="17" t="s">
        <v>21</v>
      </c>
      <c r="D174" s="17" t="s">
        <v>26</v>
      </c>
      <c r="E174" s="16">
        <v>79700077</v>
      </c>
      <c r="F174" s="41">
        <v>297</v>
      </c>
      <c r="G174" s="19" t="s">
        <v>9</v>
      </c>
    </row>
    <row r="175" spans="1:7" x14ac:dyDescent="0.35">
      <c r="A175" s="41">
        <v>174</v>
      </c>
      <c r="B175" s="17" t="s">
        <v>20</v>
      </c>
      <c r="C175" s="17" t="s">
        <v>21</v>
      </c>
      <c r="D175" s="17" t="s">
        <v>26</v>
      </c>
      <c r="E175" s="16">
        <v>79700078</v>
      </c>
      <c r="F175" s="41">
        <v>217</v>
      </c>
      <c r="G175" s="19" t="s">
        <v>9</v>
      </c>
    </row>
    <row r="176" spans="1:7" x14ac:dyDescent="0.35">
      <c r="A176" s="41">
        <v>175</v>
      </c>
      <c r="B176" s="17" t="s">
        <v>20</v>
      </c>
      <c r="C176" s="17" t="s">
        <v>21</v>
      </c>
      <c r="D176" s="17" t="s">
        <v>26</v>
      </c>
      <c r="E176" s="16">
        <v>79700079</v>
      </c>
      <c r="F176" s="41">
        <v>204</v>
      </c>
      <c r="G176" s="19" t="s">
        <v>9</v>
      </c>
    </row>
    <row r="177" spans="1:7" x14ac:dyDescent="0.35">
      <c r="A177" s="41">
        <v>176</v>
      </c>
      <c r="B177" s="17" t="s">
        <v>20</v>
      </c>
      <c r="C177" s="17" t="s">
        <v>21</v>
      </c>
      <c r="D177" s="17" t="s">
        <v>26</v>
      </c>
      <c r="E177" s="16">
        <v>79700080</v>
      </c>
      <c r="F177" s="41">
        <v>221</v>
      </c>
      <c r="G177" s="19" t="s">
        <v>9</v>
      </c>
    </row>
    <row r="178" spans="1:7" x14ac:dyDescent="0.35">
      <c r="A178" s="41">
        <v>177</v>
      </c>
      <c r="B178" s="17" t="s">
        <v>20</v>
      </c>
      <c r="C178" s="17" t="s">
        <v>21</v>
      </c>
      <c r="D178" s="17" t="s">
        <v>26</v>
      </c>
      <c r="E178" s="16">
        <v>79700081</v>
      </c>
      <c r="F178" s="41">
        <v>244</v>
      </c>
      <c r="G178" s="19" t="s">
        <v>9</v>
      </c>
    </row>
    <row r="179" spans="1:7" x14ac:dyDescent="0.35">
      <c r="A179" s="41">
        <v>178</v>
      </c>
      <c r="B179" s="17" t="s">
        <v>20</v>
      </c>
      <c r="C179" s="17" t="s">
        <v>21</v>
      </c>
      <c r="D179" s="17" t="s">
        <v>26</v>
      </c>
      <c r="E179" s="16">
        <v>79700082</v>
      </c>
      <c r="F179" s="41">
        <v>208</v>
      </c>
      <c r="G179" s="19" t="s">
        <v>9</v>
      </c>
    </row>
    <row r="180" spans="1:7" x14ac:dyDescent="0.35">
      <c r="A180" s="41">
        <v>179</v>
      </c>
      <c r="B180" s="17" t="s">
        <v>20</v>
      </c>
      <c r="C180" s="17" t="s">
        <v>21</v>
      </c>
      <c r="D180" s="17" t="s">
        <v>26</v>
      </c>
      <c r="E180" s="16">
        <v>79700083</v>
      </c>
      <c r="F180" s="41">
        <v>228</v>
      </c>
      <c r="G180" s="19" t="s">
        <v>27</v>
      </c>
    </row>
    <row r="181" spans="1:7" x14ac:dyDescent="0.35">
      <c r="A181" s="41">
        <v>180</v>
      </c>
      <c r="B181" s="17" t="s">
        <v>20</v>
      </c>
      <c r="C181" s="17" t="s">
        <v>21</v>
      </c>
      <c r="D181" s="17" t="s">
        <v>26</v>
      </c>
      <c r="E181" s="16">
        <v>79700084</v>
      </c>
      <c r="F181" s="41">
        <v>220</v>
      </c>
      <c r="G181" s="19" t="s">
        <v>9</v>
      </c>
    </row>
    <row r="182" spans="1:7" x14ac:dyDescent="0.35">
      <c r="A182" s="41">
        <v>181</v>
      </c>
      <c r="B182" s="17" t="s">
        <v>20</v>
      </c>
      <c r="C182" s="17" t="s">
        <v>21</v>
      </c>
      <c r="D182" s="17" t="s">
        <v>26</v>
      </c>
      <c r="E182" s="16">
        <v>79700085</v>
      </c>
      <c r="F182" s="41">
        <v>218</v>
      </c>
      <c r="G182" s="19" t="s">
        <v>9</v>
      </c>
    </row>
    <row r="183" spans="1:7" x14ac:dyDescent="0.35">
      <c r="A183" s="41">
        <v>182</v>
      </c>
      <c r="B183" s="17" t="s">
        <v>20</v>
      </c>
      <c r="C183" s="17" t="s">
        <v>21</v>
      </c>
      <c r="D183" s="17" t="s">
        <v>26</v>
      </c>
      <c r="E183" s="16">
        <v>79700086</v>
      </c>
      <c r="F183" s="41">
        <v>226</v>
      </c>
      <c r="G183" s="19" t="s">
        <v>27</v>
      </c>
    </row>
    <row r="184" spans="1:7" x14ac:dyDescent="0.35">
      <c r="A184" s="41">
        <v>183</v>
      </c>
      <c r="B184" s="17" t="s">
        <v>20</v>
      </c>
      <c r="C184" s="17" t="s">
        <v>21</v>
      </c>
      <c r="D184" s="17" t="s">
        <v>26</v>
      </c>
      <c r="E184" s="16">
        <v>79700087</v>
      </c>
      <c r="F184" s="41">
        <v>237</v>
      </c>
      <c r="G184" s="19" t="s">
        <v>27</v>
      </c>
    </row>
    <row r="185" spans="1:7" x14ac:dyDescent="0.35">
      <c r="A185" s="41">
        <v>184</v>
      </c>
      <c r="B185" s="17" t="s">
        <v>20</v>
      </c>
      <c r="C185" s="17" t="s">
        <v>21</v>
      </c>
      <c r="D185" s="17" t="s">
        <v>26</v>
      </c>
      <c r="E185" s="16">
        <v>79700088</v>
      </c>
      <c r="F185" s="41">
        <v>236</v>
      </c>
      <c r="G185" s="19" t="s">
        <v>27</v>
      </c>
    </row>
    <row r="186" spans="1:7" x14ac:dyDescent="0.35">
      <c r="A186" s="41">
        <v>185</v>
      </c>
      <c r="B186" s="17" t="s">
        <v>20</v>
      </c>
      <c r="C186" s="17" t="s">
        <v>21</v>
      </c>
      <c r="D186" s="17" t="s">
        <v>26</v>
      </c>
      <c r="E186" s="16">
        <v>79700098</v>
      </c>
      <c r="F186" s="41">
        <v>232</v>
      </c>
      <c r="G186" s="19" t="s">
        <v>9</v>
      </c>
    </row>
    <row r="187" spans="1:7" x14ac:dyDescent="0.35">
      <c r="A187" s="41">
        <v>186</v>
      </c>
      <c r="B187" s="17" t="s">
        <v>20</v>
      </c>
      <c r="C187" s="17" t="s">
        <v>21</v>
      </c>
      <c r="D187" s="17" t="s">
        <v>26</v>
      </c>
      <c r="E187" s="16">
        <v>79700111</v>
      </c>
      <c r="F187" s="41">
        <v>210</v>
      </c>
      <c r="G187" s="19" t="s">
        <v>9</v>
      </c>
    </row>
    <row r="188" spans="1:7" x14ac:dyDescent="0.35">
      <c r="A188" s="41">
        <v>187</v>
      </c>
      <c r="B188" s="17" t="s">
        <v>20</v>
      </c>
      <c r="C188" s="17" t="s">
        <v>21</v>
      </c>
      <c r="D188" s="17" t="s">
        <v>26</v>
      </c>
      <c r="E188" s="16">
        <v>79700112</v>
      </c>
      <c r="F188" s="41">
        <v>261</v>
      </c>
      <c r="G188" s="19" t="s">
        <v>9</v>
      </c>
    </row>
    <row r="189" spans="1:7" x14ac:dyDescent="0.35">
      <c r="A189" s="41">
        <v>188</v>
      </c>
      <c r="B189" s="17" t="s">
        <v>20</v>
      </c>
      <c r="C189" s="17" t="s">
        <v>21</v>
      </c>
      <c r="D189" s="17" t="s">
        <v>22</v>
      </c>
      <c r="E189" s="16">
        <v>79700001</v>
      </c>
      <c r="F189" s="41">
        <v>210</v>
      </c>
      <c r="G189" s="19" t="s">
        <v>27</v>
      </c>
    </row>
    <row r="190" spans="1:7" x14ac:dyDescent="0.35">
      <c r="A190" s="41">
        <v>189</v>
      </c>
      <c r="B190" s="17" t="s">
        <v>20</v>
      </c>
      <c r="C190" s="17" t="s">
        <v>21</v>
      </c>
      <c r="D190" s="17" t="s">
        <v>22</v>
      </c>
      <c r="E190" s="16">
        <v>79700002</v>
      </c>
      <c r="F190" s="41">
        <v>244</v>
      </c>
      <c r="G190" s="19" t="s">
        <v>9</v>
      </c>
    </row>
    <row r="191" spans="1:7" x14ac:dyDescent="0.35">
      <c r="A191" s="41">
        <v>190</v>
      </c>
      <c r="B191" s="17" t="s">
        <v>20</v>
      </c>
      <c r="C191" s="17" t="s">
        <v>21</v>
      </c>
      <c r="D191" s="17" t="s">
        <v>22</v>
      </c>
      <c r="E191" s="16">
        <v>79700003</v>
      </c>
      <c r="F191" s="41">
        <v>271</v>
      </c>
      <c r="G191" s="19" t="s">
        <v>9</v>
      </c>
    </row>
    <row r="192" spans="1:7" x14ac:dyDescent="0.35">
      <c r="A192" s="41">
        <v>191</v>
      </c>
      <c r="B192" s="17" t="s">
        <v>20</v>
      </c>
      <c r="C192" s="17" t="s">
        <v>21</v>
      </c>
      <c r="D192" s="17" t="s">
        <v>22</v>
      </c>
      <c r="E192" s="16">
        <v>79700005</v>
      </c>
      <c r="F192" s="41">
        <v>215</v>
      </c>
      <c r="G192" s="19" t="s">
        <v>9</v>
      </c>
    </row>
    <row r="193" spans="1:7" x14ac:dyDescent="0.35">
      <c r="A193" s="41">
        <v>192</v>
      </c>
      <c r="B193" s="17" t="s">
        <v>20</v>
      </c>
      <c r="C193" s="17" t="s">
        <v>21</v>
      </c>
      <c r="D193" s="17" t="s">
        <v>22</v>
      </c>
      <c r="E193" s="16">
        <v>79700007</v>
      </c>
      <c r="F193" s="41">
        <v>303</v>
      </c>
      <c r="G193" s="19" t="s">
        <v>9</v>
      </c>
    </row>
    <row r="194" spans="1:7" x14ac:dyDescent="0.35">
      <c r="A194" s="41">
        <v>193</v>
      </c>
      <c r="B194" s="17" t="s">
        <v>20</v>
      </c>
      <c r="C194" s="17" t="s">
        <v>21</v>
      </c>
      <c r="D194" s="17" t="s">
        <v>22</v>
      </c>
      <c r="E194" s="16">
        <v>79700008</v>
      </c>
      <c r="F194" s="41">
        <v>222</v>
      </c>
      <c r="G194" s="19" t="s">
        <v>9</v>
      </c>
    </row>
    <row r="195" spans="1:7" x14ac:dyDescent="0.35">
      <c r="A195" s="41">
        <v>194</v>
      </c>
      <c r="B195" s="17" t="s">
        <v>20</v>
      </c>
      <c r="C195" s="17" t="s">
        <v>21</v>
      </c>
      <c r="D195" s="17" t="s">
        <v>22</v>
      </c>
      <c r="E195" s="16">
        <v>79700009</v>
      </c>
      <c r="F195" s="41">
        <v>200</v>
      </c>
      <c r="G195" s="19" t="s">
        <v>9</v>
      </c>
    </row>
    <row r="196" spans="1:7" x14ac:dyDescent="0.35">
      <c r="A196" s="41">
        <v>195</v>
      </c>
      <c r="B196" s="17" t="s">
        <v>20</v>
      </c>
      <c r="C196" s="17" t="s">
        <v>21</v>
      </c>
      <c r="D196" s="17" t="s">
        <v>22</v>
      </c>
      <c r="E196" s="16">
        <v>79700011</v>
      </c>
      <c r="F196" s="41">
        <v>212</v>
      </c>
      <c r="G196" s="19" t="s">
        <v>9</v>
      </c>
    </row>
    <row r="197" spans="1:7" x14ac:dyDescent="0.35">
      <c r="A197" s="41">
        <v>196</v>
      </c>
      <c r="B197" s="17" t="s">
        <v>20</v>
      </c>
      <c r="C197" s="17" t="s">
        <v>21</v>
      </c>
      <c r="D197" s="17" t="s">
        <v>22</v>
      </c>
      <c r="E197" s="16">
        <v>79700012</v>
      </c>
      <c r="F197" s="41">
        <v>207</v>
      </c>
      <c r="G197" s="19" t="s">
        <v>27</v>
      </c>
    </row>
    <row r="198" spans="1:7" x14ac:dyDescent="0.35">
      <c r="A198" s="41">
        <v>197</v>
      </c>
      <c r="B198" s="17" t="s">
        <v>20</v>
      </c>
      <c r="C198" s="17" t="s">
        <v>21</v>
      </c>
      <c r="D198" s="17" t="s">
        <v>22</v>
      </c>
      <c r="E198" s="16">
        <v>79700089</v>
      </c>
      <c r="F198" s="41">
        <v>251</v>
      </c>
      <c r="G198" s="19" t="s">
        <v>9</v>
      </c>
    </row>
    <row r="199" spans="1:7" x14ac:dyDescent="0.35">
      <c r="A199" s="41">
        <v>198</v>
      </c>
      <c r="B199" s="17" t="s">
        <v>20</v>
      </c>
      <c r="C199" s="17" t="s">
        <v>21</v>
      </c>
      <c r="D199" s="17" t="s">
        <v>22</v>
      </c>
      <c r="E199" s="16">
        <v>79700090</v>
      </c>
      <c r="F199" s="41">
        <v>206</v>
      </c>
      <c r="G199" s="19" t="s">
        <v>9</v>
      </c>
    </row>
    <row r="200" spans="1:7" x14ac:dyDescent="0.35">
      <c r="A200" s="41">
        <v>199</v>
      </c>
      <c r="B200" s="17" t="s">
        <v>20</v>
      </c>
      <c r="C200" s="17" t="s">
        <v>21</v>
      </c>
      <c r="D200" s="17" t="s">
        <v>22</v>
      </c>
      <c r="E200" s="16">
        <v>79700100</v>
      </c>
      <c r="F200" s="41">
        <v>403</v>
      </c>
      <c r="G200" s="19" t="s">
        <v>9</v>
      </c>
    </row>
    <row r="201" spans="1:7" x14ac:dyDescent="0.35">
      <c r="A201" s="41">
        <v>200</v>
      </c>
      <c r="B201" s="17" t="s">
        <v>20</v>
      </c>
      <c r="C201" s="17" t="s">
        <v>21</v>
      </c>
      <c r="D201" s="17" t="s">
        <v>22</v>
      </c>
      <c r="E201" s="16">
        <v>79700102</v>
      </c>
      <c r="F201" s="41">
        <v>209</v>
      </c>
      <c r="G201" s="19" t="s">
        <v>9</v>
      </c>
    </row>
    <row r="202" spans="1:7" x14ac:dyDescent="0.35">
      <c r="A202" s="41">
        <v>201</v>
      </c>
      <c r="B202" s="17" t="s">
        <v>20</v>
      </c>
      <c r="C202" s="17" t="s">
        <v>21</v>
      </c>
      <c r="D202" s="17" t="s">
        <v>22</v>
      </c>
      <c r="E202" s="16">
        <v>79700104</v>
      </c>
      <c r="F202" s="41">
        <v>206</v>
      </c>
      <c r="G202" s="19" t="s">
        <v>9</v>
      </c>
    </row>
    <row r="203" spans="1:7" x14ac:dyDescent="0.35">
      <c r="A203" s="41">
        <v>202</v>
      </c>
      <c r="B203" s="17" t="s">
        <v>20</v>
      </c>
      <c r="C203" s="17" t="s">
        <v>21</v>
      </c>
      <c r="D203" s="17" t="s">
        <v>24</v>
      </c>
      <c r="E203" s="16">
        <v>79700043</v>
      </c>
      <c r="F203" s="41">
        <v>277</v>
      </c>
      <c r="G203" s="19" t="s">
        <v>9</v>
      </c>
    </row>
    <row r="204" spans="1:7" x14ac:dyDescent="0.35">
      <c r="A204" s="41">
        <v>203</v>
      </c>
      <c r="B204" s="17" t="s">
        <v>20</v>
      </c>
      <c r="C204" s="17" t="s">
        <v>21</v>
      </c>
      <c r="D204" s="17" t="s">
        <v>24</v>
      </c>
      <c r="E204" s="16">
        <v>79700045</v>
      </c>
      <c r="F204" s="41">
        <v>418</v>
      </c>
      <c r="G204" s="19" t="s">
        <v>9</v>
      </c>
    </row>
    <row r="205" spans="1:7" x14ac:dyDescent="0.35">
      <c r="A205" s="41">
        <v>204</v>
      </c>
      <c r="B205" s="17" t="s">
        <v>20</v>
      </c>
      <c r="C205" s="17" t="s">
        <v>21</v>
      </c>
      <c r="D205" s="17" t="s">
        <v>24</v>
      </c>
      <c r="E205" s="16">
        <v>79700047</v>
      </c>
      <c r="F205" s="41">
        <v>209</v>
      </c>
      <c r="G205" s="19" t="s">
        <v>9</v>
      </c>
    </row>
    <row r="206" spans="1:7" x14ac:dyDescent="0.35">
      <c r="A206" s="41">
        <v>205</v>
      </c>
      <c r="B206" s="17" t="s">
        <v>20</v>
      </c>
      <c r="C206" s="17" t="s">
        <v>21</v>
      </c>
      <c r="D206" s="17" t="s">
        <v>24</v>
      </c>
      <c r="E206" s="16">
        <v>79700048</v>
      </c>
      <c r="F206" s="41">
        <v>212</v>
      </c>
      <c r="G206" s="19" t="s">
        <v>9</v>
      </c>
    </row>
    <row r="207" spans="1:7" x14ac:dyDescent="0.35">
      <c r="A207" s="41">
        <v>206</v>
      </c>
      <c r="B207" s="17" t="s">
        <v>20</v>
      </c>
      <c r="C207" s="17" t="s">
        <v>21</v>
      </c>
      <c r="D207" s="17" t="s">
        <v>24</v>
      </c>
      <c r="E207" s="16">
        <v>79700049</v>
      </c>
      <c r="F207" s="41">
        <v>204</v>
      </c>
      <c r="G207" s="19" t="s">
        <v>9</v>
      </c>
    </row>
    <row r="208" spans="1:7" x14ac:dyDescent="0.35">
      <c r="A208" s="41">
        <v>207</v>
      </c>
      <c r="B208" s="17" t="s">
        <v>20</v>
      </c>
      <c r="C208" s="17" t="s">
        <v>21</v>
      </c>
      <c r="D208" s="17" t="s">
        <v>24</v>
      </c>
      <c r="E208" s="16">
        <v>79700050</v>
      </c>
      <c r="F208" s="41">
        <v>209</v>
      </c>
      <c r="G208" s="19" t="s">
        <v>9</v>
      </c>
    </row>
    <row r="209" spans="1:7" x14ac:dyDescent="0.35">
      <c r="A209" s="41">
        <v>208</v>
      </c>
      <c r="B209" s="17" t="s">
        <v>20</v>
      </c>
      <c r="C209" s="17" t="s">
        <v>21</v>
      </c>
      <c r="D209" s="17" t="s">
        <v>24</v>
      </c>
      <c r="E209" s="16">
        <v>79700051</v>
      </c>
      <c r="F209" s="41">
        <v>212</v>
      </c>
      <c r="G209" s="19" t="s">
        <v>9</v>
      </c>
    </row>
    <row r="210" spans="1:7" x14ac:dyDescent="0.35">
      <c r="A210" s="41">
        <v>209</v>
      </c>
      <c r="B210" s="17" t="s">
        <v>20</v>
      </c>
      <c r="C210" s="17" t="s">
        <v>21</v>
      </c>
      <c r="D210" s="17" t="s">
        <v>24</v>
      </c>
      <c r="E210" s="16">
        <v>79700052</v>
      </c>
      <c r="F210" s="41">
        <v>221</v>
      </c>
      <c r="G210" s="19" t="s">
        <v>9</v>
      </c>
    </row>
    <row r="211" spans="1:7" x14ac:dyDescent="0.35">
      <c r="A211" s="41">
        <v>210</v>
      </c>
      <c r="B211" s="17" t="s">
        <v>20</v>
      </c>
      <c r="C211" s="17" t="s">
        <v>21</v>
      </c>
      <c r="D211" s="17" t="s">
        <v>24</v>
      </c>
      <c r="E211" s="16">
        <v>79700053</v>
      </c>
      <c r="F211" s="41">
        <v>266</v>
      </c>
      <c r="G211" s="19" t="s">
        <v>27</v>
      </c>
    </row>
    <row r="212" spans="1:7" x14ac:dyDescent="0.35">
      <c r="A212" s="41">
        <v>211</v>
      </c>
      <c r="B212" s="17" t="s">
        <v>20</v>
      </c>
      <c r="C212" s="17" t="s">
        <v>21</v>
      </c>
      <c r="D212" s="17" t="s">
        <v>24</v>
      </c>
      <c r="E212" s="16">
        <v>79700054</v>
      </c>
      <c r="F212" s="41">
        <v>228</v>
      </c>
      <c r="G212" s="19" t="s">
        <v>27</v>
      </c>
    </row>
    <row r="213" spans="1:7" x14ac:dyDescent="0.35">
      <c r="A213" s="41">
        <v>212</v>
      </c>
      <c r="B213" s="17" t="s">
        <v>20</v>
      </c>
      <c r="C213" s="17" t="s">
        <v>21</v>
      </c>
      <c r="D213" s="17" t="s">
        <v>24</v>
      </c>
      <c r="E213" s="16">
        <v>79700055</v>
      </c>
      <c r="F213" s="41">
        <v>510</v>
      </c>
      <c r="G213" s="19" t="s">
        <v>9</v>
      </c>
    </row>
    <row r="214" spans="1:7" x14ac:dyDescent="0.35">
      <c r="A214" s="41">
        <v>213</v>
      </c>
      <c r="B214" s="17" t="s">
        <v>20</v>
      </c>
      <c r="C214" s="17" t="s">
        <v>21</v>
      </c>
      <c r="D214" s="17" t="s">
        <v>24</v>
      </c>
      <c r="E214" s="16">
        <v>79700056</v>
      </c>
      <c r="F214" s="41">
        <v>289</v>
      </c>
      <c r="G214" s="19" t="s">
        <v>9</v>
      </c>
    </row>
    <row r="215" spans="1:7" x14ac:dyDescent="0.35">
      <c r="A215" s="41">
        <v>214</v>
      </c>
      <c r="B215" s="17" t="s">
        <v>20</v>
      </c>
      <c r="C215" s="17" t="s">
        <v>21</v>
      </c>
      <c r="D215" s="17" t="s">
        <v>24</v>
      </c>
      <c r="E215" s="16">
        <v>79700057</v>
      </c>
      <c r="F215" s="41">
        <v>246</v>
      </c>
      <c r="G215" s="19" t="s">
        <v>27</v>
      </c>
    </row>
    <row r="216" spans="1:7" x14ac:dyDescent="0.35">
      <c r="A216" s="41">
        <v>215</v>
      </c>
      <c r="B216" s="17" t="s">
        <v>20</v>
      </c>
      <c r="C216" s="17" t="s">
        <v>21</v>
      </c>
      <c r="D216" s="17" t="s">
        <v>24</v>
      </c>
      <c r="E216" s="16">
        <v>79700058</v>
      </c>
      <c r="F216" s="41">
        <v>235</v>
      </c>
      <c r="G216" s="19" t="s">
        <v>9</v>
      </c>
    </row>
    <row r="217" spans="1:7" x14ac:dyDescent="0.35">
      <c r="A217" s="41">
        <v>216</v>
      </c>
      <c r="B217" s="17" t="s">
        <v>20</v>
      </c>
      <c r="C217" s="17" t="s">
        <v>21</v>
      </c>
      <c r="D217" s="17" t="s">
        <v>24</v>
      </c>
      <c r="E217" s="16">
        <v>79700062</v>
      </c>
      <c r="F217" s="41">
        <v>223</v>
      </c>
      <c r="G217" s="19" t="s">
        <v>9</v>
      </c>
    </row>
    <row r="218" spans="1:7" x14ac:dyDescent="0.35">
      <c r="A218" s="41">
        <v>217</v>
      </c>
      <c r="B218" s="17" t="s">
        <v>20</v>
      </c>
      <c r="C218" s="17" t="s">
        <v>21</v>
      </c>
      <c r="D218" s="17" t="s">
        <v>24</v>
      </c>
      <c r="E218" s="16">
        <v>79700063</v>
      </c>
      <c r="F218" s="41">
        <v>250</v>
      </c>
      <c r="G218" s="19" t="s">
        <v>9</v>
      </c>
    </row>
    <row r="219" spans="1:7" x14ac:dyDescent="0.35">
      <c r="A219" s="41">
        <v>218</v>
      </c>
      <c r="B219" s="17" t="s">
        <v>20</v>
      </c>
      <c r="C219" s="17" t="s">
        <v>21</v>
      </c>
      <c r="D219" s="17" t="s">
        <v>24</v>
      </c>
      <c r="E219" s="16">
        <v>79700064</v>
      </c>
      <c r="F219" s="41">
        <v>220</v>
      </c>
      <c r="G219" s="19" t="s">
        <v>9</v>
      </c>
    </row>
    <row r="220" spans="1:7" x14ac:dyDescent="0.35">
      <c r="A220" s="41">
        <v>219</v>
      </c>
      <c r="B220" s="17" t="s">
        <v>20</v>
      </c>
      <c r="C220" s="17" t="s">
        <v>21</v>
      </c>
      <c r="D220" s="17" t="s">
        <v>24</v>
      </c>
      <c r="E220" s="16">
        <v>79700095</v>
      </c>
      <c r="F220" s="41">
        <v>226</v>
      </c>
      <c r="G220" s="19" t="s">
        <v>9</v>
      </c>
    </row>
    <row r="221" spans="1:7" x14ac:dyDescent="0.35">
      <c r="A221" s="41">
        <v>220</v>
      </c>
      <c r="B221" s="17" t="s">
        <v>20</v>
      </c>
      <c r="C221" s="17" t="s">
        <v>21</v>
      </c>
      <c r="D221" s="17" t="s">
        <v>24</v>
      </c>
      <c r="E221" s="16">
        <v>79700099</v>
      </c>
      <c r="F221" s="41">
        <v>242</v>
      </c>
      <c r="G221" s="19" t="s">
        <v>9</v>
      </c>
    </row>
    <row r="222" spans="1:7" x14ac:dyDescent="0.35">
      <c r="A222" s="41">
        <v>221</v>
      </c>
      <c r="B222" s="17" t="s">
        <v>20</v>
      </c>
      <c r="C222" s="17" t="s">
        <v>21</v>
      </c>
      <c r="D222" s="17" t="s">
        <v>24</v>
      </c>
      <c r="E222" s="16">
        <v>79700103</v>
      </c>
      <c r="F222" s="41">
        <v>277</v>
      </c>
      <c r="G222" s="19" t="s">
        <v>9</v>
      </c>
    </row>
    <row r="223" spans="1:7" x14ac:dyDescent="0.35">
      <c r="A223" s="41">
        <v>222</v>
      </c>
      <c r="B223" s="17" t="s">
        <v>20</v>
      </c>
      <c r="C223" s="17" t="s">
        <v>21</v>
      </c>
      <c r="D223" s="17" t="s">
        <v>24</v>
      </c>
      <c r="E223" s="16">
        <v>79700107</v>
      </c>
      <c r="F223" s="41">
        <v>212</v>
      </c>
      <c r="G223" s="19" t="s">
        <v>27</v>
      </c>
    </row>
    <row r="224" spans="1:7" x14ac:dyDescent="0.35">
      <c r="A224" s="41">
        <v>223</v>
      </c>
      <c r="B224" s="17" t="s">
        <v>20</v>
      </c>
      <c r="C224" s="17" t="s">
        <v>21</v>
      </c>
      <c r="D224" s="17" t="s">
        <v>24</v>
      </c>
      <c r="E224" s="16">
        <v>79700108</v>
      </c>
      <c r="F224" s="41">
        <v>220</v>
      </c>
      <c r="G224" s="19" t="s">
        <v>9</v>
      </c>
    </row>
    <row r="225" spans="1:7" x14ac:dyDescent="0.35">
      <c r="A225" s="41">
        <v>224</v>
      </c>
      <c r="B225" s="17" t="s">
        <v>20</v>
      </c>
      <c r="C225" s="17" t="s">
        <v>28</v>
      </c>
      <c r="D225" s="17" t="s">
        <v>33</v>
      </c>
      <c r="E225" s="16">
        <v>79800077</v>
      </c>
      <c r="F225" s="41">
        <v>209</v>
      </c>
      <c r="G225" s="19" t="s">
        <v>9</v>
      </c>
    </row>
    <row r="226" spans="1:7" x14ac:dyDescent="0.35">
      <c r="A226" s="41">
        <v>225</v>
      </c>
      <c r="B226" s="17" t="s">
        <v>20</v>
      </c>
      <c r="C226" s="17" t="s">
        <v>28</v>
      </c>
      <c r="D226" s="17" t="s">
        <v>33</v>
      </c>
      <c r="E226" s="16">
        <v>79800078</v>
      </c>
      <c r="F226" s="41">
        <v>209</v>
      </c>
      <c r="G226" s="19" t="s">
        <v>9</v>
      </c>
    </row>
    <row r="227" spans="1:7" x14ac:dyDescent="0.35">
      <c r="A227" s="41">
        <v>226</v>
      </c>
      <c r="B227" s="17" t="s">
        <v>20</v>
      </c>
      <c r="C227" s="17" t="s">
        <v>28</v>
      </c>
      <c r="D227" s="17" t="s">
        <v>33</v>
      </c>
      <c r="E227" s="16">
        <v>79800079</v>
      </c>
      <c r="F227" s="41">
        <v>204</v>
      </c>
      <c r="G227" s="19" t="s">
        <v>9</v>
      </c>
    </row>
    <row r="228" spans="1:7" x14ac:dyDescent="0.35">
      <c r="A228" s="41">
        <v>227</v>
      </c>
      <c r="B228" s="17" t="s">
        <v>20</v>
      </c>
      <c r="C228" s="17" t="s">
        <v>28</v>
      </c>
      <c r="D228" s="17" t="s">
        <v>33</v>
      </c>
      <c r="E228" s="16">
        <v>79800080</v>
      </c>
      <c r="F228" s="41">
        <v>227</v>
      </c>
      <c r="G228" s="19" t="s">
        <v>9</v>
      </c>
    </row>
    <row r="229" spans="1:7" x14ac:dyDescent="0.35">
      <c r="A229" s="41">
        <v>228</v>
      </c>
      <c r="B229" s="17" t="s">
        <v>20</v>
      </c>
      <c r="C229" s="17" t="s">
        <v>28</v>
      </c>
      <c r="D229" s="17" t="s">
        <v>33</v>
      </c>
      <c r="E229" s="16">
        <v>79800092</v>
      </c>
      <c r="F229" s="41">
        <v>209</v>
      </c>
      <c r="G229" s="19" t="s">
        <v>9</v>
      </c>
    </row>
    <row r="230" spans="1:7" x14ac:dyDescent="0.35">
      <c r="A230" s="41">
        <v>229</v>
      </c>
      <c r="B230" s="17" t="s">
        <v>20</v>
      </c>
      <c r="C230" s="17" t="s">
        <v>28</v>
      </c>
      <c r="D230" s="17" t="s">
        <v>33</v>
      </c>
      <c r="E230" s="16">
        <v>79800094</v>
      </c>
      <c r="F230" s="41">
        <v>225</v>
      </c>
      <c r="G230" s="19" t="s">
        <v>27</v>
      </c>
    </row>
    <row r="231" spans="1:7" x14ac:dyDescent="0.35">
      <c r="A231" s="41">
        <v>230</v>
      </c>
      <c r="B231" s="17" t="s">
        <v>20</v>
      </c>
      <c r="C231" s="17" t="s">
        <v>28</v>
      </c>
      <c r="D231" s="17" t="s">
        <v>33</v>
      </c>
      <c r="E231" s="16">
        <v>79800095</v>
      </c>
      <c r="F231" s="41">
        <v>222</v>
      </c>
      <c r="G231" s="19" t="s">
        <v>9</v>
      </c>
    </row>
    <row r="232" spans="1:7" x14ac:dyDescent="0.35">
      <c r="A232" s="41">
        <v>231</v>
      </c>
      <c r="B232" s="17" t="s">
        <v>20</v>
      </c>
      <c r="C232" s="17" t="s">
        <v>28</v>
      </c>
      <c r="D232" s="17" t="s">
        <v>33</v>
      </c>
      <c r="E232" s="16">
        <v>79800096</v>
      </c>
      <c r="F232" s="41">
        <v>240</v>
      </c>
      <c r="G232" s="19" t="s">
        <v>9</v>
      </c>
    </row>
    <row r="233" spans="1:7" x14ac:dyDescent="0.35">
      <c r="A233" s="41">
        <v>232</v>
      </c>
      <c r="B233" s="17" t="s">
        <v>20</v>
      </c>
      <c r="C233" s="17" t="s">
        <v>28</v>
      </c>
      <c r="D233" s="17" t="s">
        <v>33</v>
      </c>
      <c r="E233" s="16">
        <v>79800110</v>
      </c>
      <c r="F233" s="41">
        <v>204</v>
      </c>
      <c r="G233" s="19" t="s">
        <v>9</v>
      </c>
    </row>
    <row r="234" spans="1:7" x14ac:dyDescent="0.35">
      <c r="A234" s="41">
        <v>233</v>
      </c>
      <c r="B234" s="17" t="s">
        <v>20</v>
      </c>
      <c r="C234" s="17" t="s">
        <v>28</v>
      </c>
      <c r="D234" s="17" t="s">
        <v>33</v>
      </c>
      <c r="E234" s="16">
        <v>79800111</v>
      </c>
      <c r="F234" s="41">
        <v>206</v>
      </c>
      <c r="G234" s="19" t="s">
        <v>9</v>
      </c>
    </row>
    <row r="235" spans="1:7" x14ac:dyDescent="0.35">
      <c r="A235" s="41">
        <v>234</v>
      </c>
      <c r="B235" s="17" t="s">
        <v>20</v>
      </c>
      <c r="C235" s="17" t="s">
        <v>28</v>
      </c>
      <c r="D235" s="17" t="s">
        <v>33</v>
      </c>
      <c r="E235" s="16">
        <v>79800112</v>
      </c>
      <c r="F235" s="41">
        <v>277</v>
      </c>
      <c r="G235" s="19" t="s">
        <v>9</v>
      </c>
    </row>
    <row r="236" spans="1:7" x14ac:dyDescent="0.35">
      <c r="A236" s="41">
        <v>235</v>
      </c>
      <c r="B236" s="17" t="s">
        <v>20</v>
      </c>
      <c r="C236" s="17" t="s">
        <v>28</v>
      </c>
      <c r="D236" s="17" t="s">
        <v>33</v>
      </c>
      <c r="E236" s="16">
        <v>79800113</v>
      </c>
      <c r="F236" s="41">
        <v>205</v>
      </c>
      <c r="G236" s="19" t="s">
        <v>9</v>
      </c>
    </row>
    <row r="237" spans="1:7" x14ac:dyDescent="0.35">
      <c r="A237" s="41">
        <v>236</v>
      </c>
      <c r="B237" s="17" t="s">
        <v>20</v>
      </c>
      <c r="C237" s="17" t="s">
        <v>28</v>
      </c>
      <c r="D237" s="17" t="s">
        <v>33</v>
      </c>
      <c r="E237" s="16">
        <v>79800133</v>
      </c>
      <c r="F237" s="41">
        <v>392</v>
      </c>
      <c r="G237" s="19" t="s">
        <v>9</v>
      </c>
    </row>
    <row r="238" spans="1:7" x14ac:dyDescent="0.35">
      <c r="A238" s="41">
        <v>237</v>
      </c>
      <c r="B238" s="17" t="s">
        <v>20</v>
      </c>
      <c r="C238" s="17" t="s">
        <v>28</v>
      </c>
      <c r="D238" s="17" t="s">
        <v>346</v>
      </c>
      <c r="E238" s="16">
        <v>79800068</v>
      </c>
      <c r="F238" s="41">
        <v>302</v>
      </c>
      <c r="G238" s="19" t="s">
        <v>9</v>
      </c>
    </row>
    <row r="239" spans="1:7" x14ac:dyDescent="0.35">
      <c r="A239" s="41">
        <v>238</v>
      </c>
      <c r="B239" s="17" t="s">
        <v>20</v>
      </c>
      <c r="C239" s="17" t="s">
        <v>28</v>
      </c>
      <c r="D239" s="17" t="s">
        <v>346</v>
      </c>
      <c r="E239" s="16">
        <v>79800086</v>
      </c>
      <c r="F239" s="41">
        <v>254</v>
      </c>
      <c r="G239" s="19" t="s">
        <v>27</v>
      </c>
    </row>
    <row r="240" spans="1:7" x14ac:dyDescent="0.35">
      <c r="A240" s="41">
        <v>239</v>
      </c>
      <c r="B240" s="17" t="s">
        <v>20</v>
      </c>
      <c r="C240" s="17" t="s">
        <v>28</v>
      </c>
      <c r="D240" s="17" t="s">
        <v>346</v>
      </c>
      <c r="E240" s="16">
        <v>79800087</v>
      </c>
      <c r="F240" s="41">
        <v>232</v>
      </c>
      <c r="G240" s="19" t="s">
        <v>9</v>
      </c>
    </row>
    <row r="241" spans="1:7" x14ac:dyDescent="0.35">
      <c r="A241" s="41">
        <v>240</v>
      </c>
      <c r="B241" s="17" t="s">
        <v>20</v>
      </c>
      <c r="C241" s="17" t="s">
        <v>28</v>
      </c>
      <c r="D241" s="17" t="s">
        <v>346</v>
      </c>
      <c r="E241" s="16">
        <v>79800117</v>
      </c>
      <c r="F241" s="41">
        <v>223</v>
      </c>
      <c r="G241" s="19" t="s">
        <v>27</v>
      </c>
    </row>
    <row r="242" spans="1:7" x14ac:dyDescent="0.35">
      <c r="A242" s="41">
        <v>241</v>
      </c>
      <c r="B242" s="17" t="s">
        <v>20</v>
      </c>
      <c r="C242" s="17" t="s">
        <v>28</v>
      </c>
      <c r="D242" s="17" t="s">
        <v>31</v>
      </c>
      <c r="E242" s="16">
        <v>79800044</v>
      </c>
      <c r="F242" s="41">
        <v>242</v>
      </c>
      <c r="G242" s="19" t="s">
        <v>9</v>
      </c>
    </row>
    <row r="243" spans="1:7" x14ac:dyDescent="0.35">
      <c r="A243" s="41">
        <v>242</v>
      </c>
      <c r="B243" s="17" t="s">
        <v>20</v>
      </c>
      <c r="C243" s="17" t="s">
        <v>28</v>
      </c>
      <c r="D243" s="17" t="s">
        <v>31</v>
      </c>
      <c r="E243" s="16">
        <v>79800049</v>
      </c>
      <c r="F243" s="41">
        <v>254</v>
      </c>
      <c r="G243" s="19" t="s">
        <v>9</v>
      </c>
    </row>
    <row r="244" spans="1:7" x14ac:dyDescent="0.35">
      <c r="A244" s="41">
        <v>243</v>
      </c>
      <c r="B244" s="17" t="s">
        <v>20</v>
      </c>
      <c r="C244" s="17" t="s">
        <v>28</v>
      </c>
      <c r="D244" s="17" t="s">
        <v>31</v>
      </c>
      <c r="E244" s="16">
        <v>79800050</v>
      </c>
      <c r="F244" s="41">
        <v>229</v>
      </c>
      <c r="G244" s="19" t="s">
        <v>9</v>
      </c>
    </row>
    <row r="245" spans="1:7" x14ac:dyDescent="0.35">
      <c r="A245" s="41">
        <v>244</v>
      </c>
      <c r="B245" s="17" t="s">
        <v>20</v>
      </c>
      <c r="C245" s="17" t="s">
        <v>28</v>
      </c>
      <c r="D245" s="17" t="s">
        <v>31</v>
      </c>
      <c r="E245" s="16">
        <v>79800070</v>
      </c>
      <c r="F245" s="41">
        <v>280</v>
      </c>
      <c r="G245" s="19" t="s">
        <v>9</v>
      </c>
    </row>
    <row r="246" spans="1:7" x14ac:dyDescent="0.35">
      <c r="A246" s="41">
        <v>245</v>
      </c>
      <c r="B246" s="17" t="s">
        <v>20</v>
      </c>
      <c r="C246" s="17" t="s">
        <v>28</v>
      </c>
      <c r="D246" s="17" t="s">
        <v>31</v>
      </c>
      <c r="E246" s="16">
        <v>79800071</v>
      </c>
      <c r="F246" s="41">
        <v>232</v>
      </c>
      <c r="G246" s="19" t="s">
        <v>9</v>
      </c>
    </row>
    <row r="247" spans="1:7" x14ac:dyDescent="0.35">
      <c r="A247" s="41">
        <v>246</v>
      </c>
      <c r="B247" s="17" t="s">
        <v>20</v>
      </c>
      <c r="C247" s="17" t="s">
        <v>28</v>
      </c>
      <c r="D247" s="17" t="s">
        <v>31</v>
      </c>
      <c r="E247" s="16">
        <v>79800083</v>
      </c>
      <c r="F247" s="41">
        <v>218</v>
      </c>
      <c r="G247" s="19" t="s">
        <v>27</v>
      </c>
    </row>
    <row r="248" spans="1:7" x14ac:dyDescent="0.35">
      <c r="A248" s="41">
        <v>247</v>
      </c>
      <c r="B248" s="17" t="s">
        <v>20</v>
      </c>
      <c r="C248" s="17" t="s">
        <v>28</v>
      </c>
      <c r="D248" s="17" t="s">
        <v>31</v>
      </c>
      <c r="E248" s="16">
        <v>79800084</v>
      </c>
      <c r="F248" s="41">
        <v>208</v>
      </c>
      <c r="G248" s="19" t="s">
        <v>27</v>
      </c>
    </row>
    <row r="249" spans="1:7" x14ac:dyDescent="0.35">
      <c r="A249" s="41">
        <v>248</v>
      </c>
      <c r="B249" s="17" t="s">
        <v>20</v>
      </c>
      <c r="C249" s="17" t="s">
        <v>28</v>
      </c>
      <c r="D249" s="17" t="s">
        <v>31</v>
      </c>
      <c r="E249" s="16">
        <v>79800089</v>
      </c>
      <c r="F249" s="41">
        <v>202</v>
      </c>
      <c r="G249" s="19" t="s">
        <v>27</v>
      </c>
    </row>
    <row r="250" spans="1:7" x14ac:dyDescent="0.35">
      <c r="A250" s="41">
        <v>249</v>
      </c>
      <c r="B250" s="17" t="s">
        <v>20</v>
      </c>
      <c r="C250" s="17" t="s">
        <v>28</v>
      </c>
      <c r="D250" s="17" t="s">
        <v>31</v>
      </c>
      <c r="E250" s="16">
        <v>79800097</v>
      </c>
      <c r="F250" s="41">
        <v>277</v>
      </c>
      <c r="G250" s="19" t="s">
        <v>9</v>
      </c>
    </row>
    <row r="251" spans="1:7" x14ac:dyDescent="0.35">
      <c r="A251" s="41">
        <v>250</v>
      </c>
      <c r="B251" s="17" t="s">
        <v>20</v>
      </c>
      <c r="C251" s="17" t="s">
        <v>28</v>
      </c>
      <c r="D251" s="17" t="s">
        <v>31</v>
      </c>
      <c r="E251" s="16">
        <v>79800100</v>
      </c>
      <c r="F251" s="41">
        <v>239</v>
      </c>
      <c r="G251" s="19" t="s">
        <v>9</v>
      </c>
    </row>
    <row r="252" spans="1:7" x14ac:dyDescent="0.35">
      <c r="A252" s="41">
        <v>251</v>
      </c>
      <c r="B252" s="17" t="s">
        <v>20</v>
      </c>
      <c r="C252" s="17" t="s">
        <v>28</v>
      </c>
      <c r="D252" s="17" t="s">
        <v>31</v>
      </c>
      <c r="E252" s="16">
        <v>79800101</v>
      </c>
      <c r="F252" s="41">
        <v>211</v>
      </c>
      <c r="G252" s="19" t="s">
        <v>9</v>
      </c>
    </row>
    <row r="253" spans="1:7" x14ac:dyDescent="0.35">
      <c r="A253" s="41">
        <v>252</v>
      </c>
      <c r="B253" s="17" t="s">
        <v>20</v>
      </c>
      <c r="C253" s="17" t="s">
        <v>28</v>
      </c>
      <c r="D253" s="17" t="s">
        <v>31</v>
      </c>
      <c r="E253" s="16">
        <v>79800114</v>
      </c>
      <c r="F253" s="41">
        <v>235</v>
      </c>
      <c r="G253" s="19" t="s">
        <v>9</v>
      </c>
    </row>
    <row r="254" spans="1:7" x14ac:dyDescent="0.35">
      <c r="A254" s="41">
        <v>253</v>
      </c>
      <c r="B254" s="17" t="s">
        <v>20</v>
      </c>
      <c r="C254" s="17" t="s">
        <v>28</v>
      </c>
      <c r="D254" s="17" t="s">
        <v>31</v>
      </c>
      <c r="E254" s="16">
        <v>79800126</v>
      </c>
      <c r="F254" s="41">
        <v>207</v>
      </c>
      <c r="G254" s="19" t="s">
        <v>27</v>
      </c>
    </row>
    <row r="255" spans="1:7" x14ac:dyDescent="0.35">
      <c r="A255" s="41">
        <v>254</v>
      </c>
      <c r="B255" s="17" t="s">
        <v>20</v>
      </c>
      <c r="C255" s="17" t="s">
        <v>28</v>
      </c>
      <c r="D255" s="17" t="s">
        <v>31</v>
      </c>
      <c r="E255" s="16">
        <v>79800127</v>
      </c>
      <c r="F255" s="41">
        <v>200</v>
      </c>
      <c r="G255" s="19" t="s">
        <v>9</v>
      </c>
    </row>
    <row r="256" spans="1:7" x14ac:dyDescent="0.35">
      <c r="A256" s="41">
        <v>255</v>
      </c>
      <c r="B256" s="17" t="s">
        <v>20</v>
      </c>
      <c r="C256" s="17" t="s">
        <v>28</v>
      </c>
      <c r="D256" s="17" t="s">
        <v>31</v>
      </c>
      <c r="E256" s="16">
        <v>79800128</v>
      </c>
      <c r="F256" s="41">
        <v>201</v>
      </c>
      <c r="G256" s="19" t="s">
        <v>9</v>
      </c>
    </row>
    <row r="257" spans="1:7" x14ac:dyDescent="0.35">
      <c r="A257" s="41">
        <v>256</v>
      </c>
      <c r="B257" s="17" t="s">
        <v>20</v>
      </c>
      <c r="C257" s="17" t="s">
        <v>28</v>
      </c>
      <c r="D257" s="17" t="s">
        <v>31</v>
      </c>
      <c r="E257" s="16">
        <v>79800129</v>
      </c>
      <c r="F257" s="41">
        <v>216</v>
      </c>
      <c r="G257" s="19" t="s">
        <v>27</v>
      </c>
    </row>
    <row r="258" spans="1:7" x14ac:dyDescent="0.35">
      <c r="A258" s="41">
        <v>257</v>
      </c>
      <c r="B258" s="17" t="s">
        <v>20</v>
      </c>
      <c r="C258" s="17" t="s">
        <v>28</v>
      </c>
      <c r="D258" s="17" t="s">
        <v>31</v>
      </c>
      <c r="E258" s="16">
        <v>79800134</v>
      </c>
      <c r="F258" s="41">
        <v>201</v>
      </c>
      <c r="G258" s="19" t="s">
        <v>27</v>
      </c>
    </row>
    <row r="259" spans="1:7" x14ac:dyDescent="0.35">
      <c r="A259" s="41">
        <v>258</v>
      </c>
      <c r="B259" s="17" t="s">
        <v>20</v>
      </c>
      <c r="C259" s="17" t="s">
        <v>28</v>
      </c>
      <c r="D259" s="17" t="s">
        <v>30</v>
      </c>
      <c r="E259" s="16">
        <v>79800011</v>
      </c>
      <c r="F259" s="41">
        <v>210</v>
      </c>
      <c r="G259" s="19" t="s">
        <v>9</v>
      </c>
    </row>
    <row r="260" spans="1:7" x14ac:dyDescent="0.35">
      <c r="A260" s="41">
        <v>259</v>
      </c>
      <c r="B260" s="17" t="s">
        <v>20</v>
      </c>
      <c r="C260" s="17" t="s">
        <v>28</v>
      </c>
      <c r="D260" s="17" t="s">
        <v>30</v>
      </c>
      <c r="E260" s="16">
        <v>79800012</v>
      </c>
      <c r="F260" s="41">
        <v>206</v>
      </c>
      <c r="G260" s="19" t="s">
        <v>9</v>
      </c>
    </row>
    <row r="261" spans="1:7" x14ac:dyDescent="0.35">
      <c r="A261" s="41">
        <v>260</v>
      </c>
      <c r="B261" s="17" t="s">
        <v>20</v>
      </c>
      <c r="C261" s="17" t="s">
        <v>28</v>
      </c>
      <c r="D261" s="17" t="s">
        <v>30</v>
      </c>
      <c r="E261" s="16">
        <v>79800013</v>
      </c>
      <c r="F261" s="41">
        <v>204</v>
      </c>
      <c r="G261" s="19" t="s">
        <v>9</v>
      </c>
    </row>
    <row r="262" spans="1:7" x14ac:dyDescent="0.35">
      <c r="A262" s="41">
        <v>261</v>
      </c>
      <c r="B262" s="17" t="s">
        <v>20</v>
      </c>
      <c r="C262" s="17" t="s">
        <v>28</v>
      </c>
      <c r="D262" s="17" t="s">
        <v>30</v>
      </c>
      <c r="E262" s="16">
        <v>79800014</v>
      </c>
      <c r="F262" s="41">
        <v>207</v>
      </c>
      <c r="G262" s="19" t="s">
        <v>9</v>
      </c>
    </row>
    <row r="263" spans="1:7" x14ac:dyDescent="0.35">
      <c r="A263" s="41">
        <v>262</v>
      </c>
      <c r="B263" s="17" t="s">
        <v>20</v>
      </c>
      <c r="C263" s="17" t="s">
        <v>28</v>
      </c>
      <c r="D263" s="17" t="s">
        <v>30</v>
      </c>
      <c r="E263" s="16">
        <v>79800015</v>
      </c>
      <c r="F263" s="41">
        <v>209</v>
      </c>
      <c r="G263" s="19" t="s">
        <v>9</v>
      </c>
    </row>
    <row r="264" spans="1:7" x14ac:dyDescent="0.35">
      <c r="A264" s="41">
        <v>263</v>
      </c>
      <c r="B264" s="17" t="s">
        <v>20</v>
      </c>
      <c r="C264" s="17" t="s">
        <v>28</v>
      </c>
      <c r="D264" s="17" t="s">
        <v>30</v>
      </c>
      <c r="E264" s="16">
        <v>79800016</v>
      </c>
      <c r="F264" s="41">
        <v>203</v>
      </c>
      <c r="G264" s="19" t="s">
        <v>9</v>
      </c>
    </row>
    <row r="265" spans="1:7" x14ac:dyDescent="0.35">
      <c r="A265" s="41">
        <v>264</v>
      </c>
      <c r="B265" s="17" t="s">
        <v>20</v>
      </c>
      <c r="C265" s="17" t="s">
        <v>28</v>
      </c>
      <c r="D265" s="17" t="s">
        <v>30</v>
      </c>
      <c r="E265" s="16">
        <v>79800019</v>
      </c>
      <c r="F265" s="41">
        <v>234</v>
      </c>
      <c r="G265" s="19" t="s">
        <v>9</v>
      </c>
    </row>
    <row r="266" spans="1:7" x14ac:dyDescent="0.35">
      <c r="A266" s="41">
        <v>265</v>
      </c>
      <c r="B266" s="17" t="s">
        <v>20</v>
      </c>
      <c r="C266" s="17" t="s">
        <v>28</v>
      </c>
      <c r="D266" s="17" t="s">
        <v>30</v>
      </c>
      <c r="E266" s="16">
        <v>79800020</v>
      </c>
      <c r="F266" s="41">
        <v>204</v>
      </c>
      <c r="G266" s="19" t="s">
        <v>9</v>
      </c>
    </row>
    <row r="267" spans="1:7" x14ac:dyDescent="0.35">
      <c r="A267" s="41">
        <v>266</v>
      </c>
      <c r="B267" s="17" t="s">
        <v>20</v>
      </c>
      <c r="C267" s="17" t="s">
        <v>28</v>
      </c>
      <c r="D267" s="17" t="s">
        <v>30</v>
      </c>
      <c r="E267" s="16">
        <v>79800021</v>
      </c>
      <c r="F267" s="41">
        <v>200</v>
      </c>
      <c r="G267" s="19" t="s">
        <v>9</v>
      </c>
    </row>
    <row r="268" spans="1:7" x14ac:dyDescent="0.35">
      <c r="A268" s="41">
        <v>267</v>
      </c>
      <c r="B268" s="17" t="s">
        <v>20</v>
      </c>
      <c r="C268" s="17" t="s">
        <v>28</v>
      </c>
      <c r="D268" s="17" t="s">
        <v>30</v>
      </c>
      <c r="E268" s="16">
        <v>79800024</v>
      </c>
      <c r="F268" s="41">
        <v>222</v>
      </c>
      <c r="G268" s="19" t="s">
        <v>9</v>
      </c>
    </row>
    <row r="269" spans="1:7" x14ac:dyDescent="0.35">
      <c r="A269" s="41">
        <v>268</v>
      </c>
      <c r="B269" s="17" t="s">
        <v>20</v>
      </c>
      <c r="C269" s="17" t="s">
        <v>28</v>
      </c>
      <c r="D269" s="17" t="s">
        <v>30</v>
      </c>
      <c r="E269" s="16">
        <v>79800025</v>
      </c>
      <c r="F269" s="41">
        <v>207</v>
      </c>
      <c r="G269" s="19" t="s">
        <v>9</v>
      </c>
    </row>
    <row r="270" spans="1:7" x14ac:dyDescent="0.35">
      <c r="A270" s="41">
        <v>269</v>
      </c>
      <c r="B270" s="17" t="s">
        <v>20</v>
      </c>
      <c r="C270" s="17" t="s">
        <v>28</v>
      </c>
      <c r="D270" s="17" t="s">
        <v>30</v>
      </c>
      <c r="E270" s="16">
        <v>79800026</v>
      </c>
      <c r="F270" s="41">
        <v>202</v>
      </c>
      <c r="G270" s="19" t="s">
        <v>27</v>
      </c>
    </row>
    <row r="271" spans="1:7" x14ac:dyDescent="0.35">
      <c r="A271" s="41">
        <v>270</v>
      </c>
      <c r="B271" s="17" t="s">
        <v>20</v>
      </c>
      <c r="C271" s="17" t="s">
        <v>28</v>
      </c>
      <c r="D271" s="17" t="s">
        <v>30</v>
      </c>
      <c r="E271" s="16">
        <v>79800027</v>
      </c>
      <c r="F271" s="41">
        <v>211</v>
      </c>
      <c r="G271" s="19" t="s">
        <v>9</v>
      </c>
    </row>
    <row r="272" spans="1:7" x14ac:dyDescent="0.35">
      <c r="A272" s="41">
        <v>271</v>
      </c>
      <c r="B272" s="17" t="s">
        <v>20</v>
      </c>
      <c r="C272" s="17" t="s">
        <v>28</v>
      </c>
      <c r="D272" s="17" t="s">
        <v>30</v>
      </c>
      <c r="E272" s="16">
        <v>79800028</v>
      </c>
      <c r="F272" s="41">
        <v>207</v>
      </c>
      <c r="G272" s="19" t="s">
        <v>9</v>
      </c>
    </row>
    <row r="273" spans="1:7" x14ac:dyDescent="0.35">
      <c r="A273" s="41">
        <v>272</v>
      </c>
      <c r="B273" s="17" t="s">
        <v>20</v>
      </c>
      <c r="C273" s="17" t="s">
        <v>28</v>
      </c>
      <c r="D273" s="17" t="s">
        <v>30</v>
      </c>
      <c r="E273" s="16">
        <v>79800029</v>
      </c>
      <c r="F273" s="41">
        <v>202</v>
      </c>
      <c r="G273" s="19" t="s">
        <v>9</v>
      </c>
    </row>
    <row r="274" spans="1:7" x14ac:dyDescent="0.35">
      <c r="A274" s="41">
        <v>273</v>
      </c>
      <c r="B274" s="17" t="s">
        <v>20</v>
      </c>
      <c r="C274" s="17" t="s">
        <v>28</v>
      </c>
      <c r="D274" s="17" t="s">
        <v>30</v>
      </c>
      <c r="E274" s="16">
        <v>79800030</v>
      </c>
      <c r="F274" s="41">
        <v>202</v>
      </c>
      <c r="G274" s="19" t="s">
        <v>9</v>
      </c>
    </row>
    <row r="275" spans="1:7" x14ac:dyDescent="0.35">
      <c r="A275" s="41">
        <v>274</v>
      </c>
      <c r="B275" s="17" t="s">
        <v>20</v>
      </c>
      <c r="C275" s="17" t="s">
        <v>28</v>
      </c>
      <c r="D275" s="17" t="s">
        <v>30</v>
      </c>
      <c r="E275" s="16">
        <v>79800031</v>
      </c>
      <c r="F275" s="41">
        <v>204</v>
      </c>
      <c r="G275" s="19" t="s">
        <v>9</v>
      </c>
    </row>
    <row r="276" spans="1:7" x14ac:dyDescent="0.35">
      <c r="A276" s="41">
        <v>275</v>
      </c>
      <c r="B276" s="17" t="s">
        <v>20</v>
      </c>
      <c r="C276" s="17" t="s">
        <v>28</v>
      </c>
      <c r="D276" s="17" t="s">
        <v>30</v>
      </c>
      <c r="E276" s="16">
        <v>79800033</v>
      </c>
      <c r="F276" s="41">
        <v>359</v>
      </c>
      <c r="G276" s="19" t="s">
        <v>9</v>
      </c>
    </row>
    <row r="277" spans="1:7" x14ac:dyDescent="0.35">
      <c r="A277" s="41">
        <v>276</v>
      </c>
      <c r="B277" s="17" t="s">
        <v>20</v>
      </c>
      <c r="C277" s="17" t="s">
        <v>28</v>
      </c>
      <c r="D277" s="17" t="s">
        <v>30</v>
      </c>
      <c r="E277" s="16">
        <v>79800034</v>
      </c>
      <c r="F277" s="41">
        <v>202</v>
      </c>
      <c r="G277" s="19" t="s">
        <v>9</v>
      </c>
    </row>
    <row r="278" spans="1:7" x14ac:dyDescent="0.35">
      <c r="A278" s="41">
        <v>277</v>
      </c>
      <c r="B278" s="17" t="s">
        <v>20</v>
      </c>
      <c r="C278" s="17" t="s">
        <v>28</v>
      </c>
      <c r="D278" s="17" t="s">
        <v>30</v>
      </c>
      <c r="E278" s="16">
        <v>79800035</v>
      </c>
      <c r="F278" s="41">
        <v>505</v>
      </c>
      <c r="G278" s="19" t="s">
        <v>9</v>
      </c>
    </row>
    <row r="279" spans="1:7" x14ac:dyDescent="0.35">
      <c r="A279" s="41">
        <v>278</v>
      </c>
      <c r="B279" s="17" t="s">
        <v>20</v>
      </c>
      <c r="C279" s="17" t="s">
        <v>28</v>
      </c>
      <c r="D279" s="17" t="s">
        <v>30</v>
      </c>
      <c r="E279" s="16">
        <v>79800043</v>
      </c>
      <c r="F279" s="41">
        <v>200</v>
      </c>
      <c r="G279" s="19" t="s">
        <v>9</v>
      </c>
    </row>
    <row r="280" spans="1:7" x14ac:dyDescent="0.35">
      <c r="A280" s="41">
        <v>279</v>
      </c>
      <c r="B280" s="17" t="s">
        <v>20</v>
      </c>
      <c r="C280" s="17" t="s">
        <v>28</v>
      </c>
      <c r="D280" s="17" t="s">
        <v>30</v>
      </c>
      <c r="E280" s="16">
        <v>79800045</v>
      </c>
      <c r="F280" s="41">
        <v>203</v>
      </c>
      <c r="G280" s="19" t="s">
        <v>9</v>
      </c>
    </row>
    <row r="281" spans="1:7" x14ac:dyDescent="0.35">
      <c r="A281" s="41">
        <v>280</v>
      </c>
      <c r="B281" s="17" t="s">
        <v>20</v>
      </c>
      <c r="C281" s="17" t="s">
        <v>28</v>
      </c>
      <c r="D281" s="17" t="s">
        <v>30</v>
      </c>
      <c r="E281" s="16">
        <v>79800046</v>
      </c>
      <c r="F281" s="41">
        <v>455</v>
      </c>
      <c r="G281" s="19" t="s">
        <v>27</v>
      </c>
    </row>
    <row r="282" spans="1:7" x14ac:dyDescent="0.35">
      <c r="A282" s="41">
        <v>281</v>
      </c>
      <c r="B282" s="17" t="s">
        <v>20</v>
      </c>
      <c r="C282" s="17" t="s">
        <v>28</v>
      </c>
      <c r="D282" s="17" t="s">
        <v>30</v>
      </c>
      <c r="E282" s="16">
        <v>79800047</v>
      </c>
      <c r="F282" s="41">
        <v>215</v>
      </c>
      <c r="G282" s="19" t="s">
        <v>9</v>
      </c>
    </row>
    <row r="283" spans="1:7" x14ac:dyDescent="0.35">
      <c r="A283" s="41">
        <v>282</v>
      </c>
      <c r="B283" s="17" t="s">
        <v>20</v>
      </c>
      <c r="C283" s="17" t="s">
        <v>28</v>
      </c>
      <c r="D283" s="17" t="s">
        <v>30</v>
      </c>
      <c r="E283" s="16">
        <v>79800048</v>
      </c>
      <c r="F283" s="41">
        <v>211</v>
      </c>
      <c r="G283" s="19" t="s">
        <v>9</v>
      </c>
    </row>
    <row r="284" spans="1:7" x14ac:dyDescent="0.35">
      <c r="A284" s="41">
        <v>283</v>
      </c>
      <c r="B284" s="17" t="s">
        <v>20</v>
      </c>
      <c r="C284" s="17" t="s">
        <v>28</v>
      </c>
      <c r="D284" s="17" t="s">
        <v>30</v>
      </c>
      <c r="E284" s="16">
        <v>79800051</v>
      </c>
      <c r="F284" s="41">
        <v>200</v>
      </c>
      <c r="G284" s="19" t="s">
        <v>27</v>
      </c>
    </row>
    <row r="285" spans="1:7" x14ac:dyDescent="0.35">
      <c r="A285" s="41">
        <v>284</v>
      </c>
      <c r="B285" s="17" t="s">
        <v>20</v>
      </c>
      <c r="C285" s="17" t="s">
        <v>28</v>
      </c>
      <c r="D285" s="17" t="s">
        <v>30</v>
      </c>
      <c r="E285" s="16">
        <v>79800052</v>
      </c>
      <c r="F285" s="41">
        <v>224</v>
      </c>
      <c r="G285" s="19" t="s">
        <v>27</v>
      </c>
    </row>
    <row r="286" spans="1:7" x14ac:dyDescent="0.35">
      <c r="A286" s="41">
        <v>285</v>
      </c>
      <c r="B286" s="17" t="s">
        <v>20</v>
      </c>
      <c r="C286" s="17" t="s">
        <v>28</v>
      </c>
      <c r="D286" s="17" t="s">
        <v>30</v>
      </c>
      <c r="E286" s="16">
        <v>79800053</v>
      </c>
      <c r="F286" s="41">
        <v>212</v>
      </c>
      <c r="G286" s="19" t="s">
        <v>9</v>
      </c>
    </row>
    <row r="287" spans="1:7" x14ac:dyDescent="0.35">
      <c r="A287" s="41">
        <v>286</v>
      </c>
      <c r="B287" s="17" t="s">
        <v>20</v>
      </c>
      <c r="C287" s="17" t="s">
        <v>28</v>
      </c>
      <c r="D287" s="17" t="s">
        <v>30</v>
      </c>
      <c r="E287" s="16">
        <v>79800130</v>
      </c>
      <c r="F287" s="41">
        <v>245</v>
      </c>
      <c r="G287" s="19" t="s">
        <v>9</v>
      </c>
    </row>
    <row r="288" spans="1:7" x14ac:dyDescent="0.35">
      <c r="A288" s="41">
        <v>287</v>
      </c>
      <c r="B288" s="17" t="s">
        <v>20</v>
      </c>
      <c r="C288" s="17" t="s">
        <v>28</v>
      </c>
      <c r="D288" s="17" t="s">
        <v>30</v>
      </c>
      <c r="E288" s="16">
        <v>79800135</v>
      </c>
      <c r="F288" s="41">
        <v>283</v>
      </c>
      <c r="G288" s="19" t="s">
        <v>9</v>
      </c>
    </row>
    <row r="289" spans="1:7" x14ac:dyDescent="0.35">
      <c r="A289" s="41">
        <v>288</v>
      </c>
      <c r="B289" s="17" t="s">
        <v>20</v>
      </c>
      <c r="C289" s="17" t="s">
        <v>28</v>
      </c>
      <c r="D289" s="17" t="s">
        <v>34</v>
      </c>
      <c r="E289" s="16">
        <v>79800032</v>
      </c>
      <c r="F289" s="41">
        <v>209</v>
      </c>
      <c r="G289" s="19" t="s">
        <v>9</v>
      </c>
    </row>
    <row r="290" spans="1:7" x14ac:dyDescent="0.35">
      <c r="A290" s="41">
        <v>289</v>
      </c>
      <c r="B290" s="17" t="s">
        <v>20</v>
      </c>
      <c r="C290" s="17" t="s">
        <v>28</v>
      </c>
      <c r="D290" s="17" t="s">
        <v>34</v>
      </c>
      <c r="E290" s="16">
        <v>79800074</v>
      </c>
      <c r="F290" s="41">
        <v>202</v>
      </c>
      <c r="G290" s="19" t="s">
        <v>9</v>
      </c>
    </row>
    <row r="291" spans="1:7" x14ac:dyDescent="0.35">
      <c r="A291" s="41">
        <v>290</v>
      </c>
      <c r="B291" s="17" t="s">
        <v>20</v>
      </c>
      <c r="C291" s="17" t="s">
        <v>28</v>
      </c>
      <c r="D291" s="17" t="s">
        <v>34</v>
      </c>
      <c r="E291" s="16">
        <v>79800075</v>
      </c>
      <c r="F291" s="41">
        <v>204</v>
      </c>
      <c r="G291" s="19" t="s">
        <v>9</v>
      </c>
    </row>
    <row r="292" spans="1:7" x14ac:dyDescent="0.35">
      <c r="A292" s="41">
        <v>291</v>
      </c>
      <c r="B292" s="17" t="s">
        <v>20</v>
      </c>
      <c r="C292" s="17" t="s">
        <v>28</v>
      </c>
      <c r="D292" s="17" t="s">
        <v>34</v>
      </c>
      <c r="E292" s="16">
        <v>79800076</v>
      </c>
      <c r="F292" s="41">
        <v>231</v>
      </c>
      <c r="G292" s="19" t="s">
        <v>9</v>
      </c>
    </row>
    <row r="293" spans="1:7" x14ac:dyDescent="0.35">
      <c r="A293" s="41">
        <v>292</v>
      </c>
      <c r="B293" s="17" t="s">
        <v>20</v>
      </c>
      <c r="C293" s="17" t="s">
        <v>28</v>
      </c>
      <c r="D293" s="17" t="s">
        <v>34</v>
      </c>
      <c r="E293" s="16">
        <v>79800081</v>
      </c>
      <c r="F293" s="41">
        <v>218</v>
      </c>
      <c r="G293" s="19" t="s">
        <v>9</v>
      </c>
    </row>
    <row r="294" spans="1:7" x14ac:dyDescent="0.35">
      <c r="A294" s="41">
        <v>293</v>
      </c>
      <c r="B294" s="17" t="s">
        <v>20</v>
      </c>
      <c r="C294" s="17" t="s">
        <v>28</v>
      </c>
      <c r="D294" s="17" t="s">
        <v>34</v>
      </c>
      <c r="E294" s="16">
        <v>79800091</v>
      </c>
      <c r="F294" s="41">
        <v>213</v>
      </c>
      <c r="G294" s="19" t="s">
        <v>9</v>
      </c>
    </row>
    <row r="295" spans="1:7" x14ac:dyDescent="0.35">
      <c r="A295" s="41">
        <v>294</v>
      </c>
      <c r="B295" s="17" t="s">
        <v>20</v>
      </c>
      <c r="C295" s="17" t="s">
        <v>28</v>
      </c>
      <c r="D295" s="17" t="s">
        <v>34</v>
      </c>
      <c r="E295" s="16">
        <v>79800105</v>
      </c>
      <c r="F295" s="41">
        <v>226</v>
      </c>
      <c r="G295" s="19" t="s">
        <v>9</v>
      </c>
    </row>
    <row r="296" spans="1:7" x14ac:dyDescent="0.35">
      <c r="A296" s="41">
        <v>295</v>
      </c>
      <c r="B296" s="17" t="s">
        <v>20</v>
      </c>
      <c r="C296" s="17" t="s">
        <v>28</v>
      </c>
      <c r="D296" s="17" t="s">
        <v>34</v>
      </c>
      <c r="E296" s="16">
        <v>79800107</v>
      </c>
      <c r="F296" s="41">
        <v>214</v>
      </c>
      <c r="G296" s="19" t="s">
        <v>9</v>
      </c>
    </row>
    <row r="297" spans="1:7" x14ac:dyDescent="0.35">
      <c r="A297" s="41">
        <v>296</v>
      </c>
      <c r="B297" s="17" t="s">
        <v>20</v>
      </c>
      <c r="C297" s="17" t="s">
        <v>28</v>
      </c>
      <c r="D297" s="17" t="s">
        <v>34</v>
      </c>
      <c r="E297" s="16">
        <v>79800108</v>
      </c>
      <c r="F297" s="41">
        <v>207</v>
      </c>
      <c r="G297" s="19" t="s">
        <v>9</v>
      </c>
    </row>
    <row r="298" spans="1:7" x14ac:dyDescent="0.35">
      <c r="A298" s="41">
        <v>297</v>
      </c>
      <c r="B298" s="17" t="s">
        <v>20</v>
      </c>
      <c r="C298" s="17" t="s">
        <v>28</v>
      </c>
      <c r="D298" s="17" t="s">
        <v>34</v>
      </c>
      <c r="E298" s="16">
        <v>79800109</v>
      </c>
      <c r="F298" s="41">
        <v>425</v>
      </c>
      <c r="G298" s="19" t="s">
        <v>9</v>
      </c>
    </row>
    <row r="299" spans="1:7" x14ac:dyDescent="0.35">
      <c r="A299" s="41">
        <v>298</v>
      </c>
      <c r="B299" s="17" t="s">
        <v>20</v>
      </c>
      <c r="C299" s="17" t="s">
        <v>28</v>
      </c>
      <c r="D299" s="17" t="s">
        <v>32</v>
      </c>
      <c r="E299" s="16">
        <v>79800054</v>
      </c>
      <c r="F299" s="41">
        <v>305</v>
      </c>
      <c r="G299" s="19" t="s">
        <v>9</v>
      </c>
    </row>
    <row r="300" spans="1:7" x14ac:dyDescent="0.35">
      <c r="A300" s="41">
        <v>299</v>
      </c>
      <c r="B300" s="17" t="s">
        <v>20</v>
      </c>
      <c r="C300" s="17" t="s">
        <v>28</v>
      </c>
      <c r="D300" s="17" t="s">
        <v>32</v>
      </c>
      <c r="E300" s="16">
        <v>79800056</v>
      </c>
      <c r="F300" s="41">
        <v>229</v>
      </c>
      <c r="G300" s="19" t="s">
        <v>9</v>
      </c>
    </row>
    <row r="301" spans="1:7" x14ac:dyDescent="0.35">
      <c r="A301" s="41">
        <v>300</v>
      </c>
      <c r="B301" s="17" t="s">
        <v>20</v>
      </c>
      <c r="C301" s="17" t="s">
        <v>28</v>
      </c>
      <c r="D301" s="17" t="s">
        <v>32</v>
      </c>
      <c r="E301" s="16">
        <v>79800060</v>
      </c>
      <c r="F301" s="41">
        <v>279</v>
      </c>
      <c r="G301" s="19" t="s">
        <v>27</v>
      </c>
    </row>
    <row r="302" spans="1:7" x14ac:dyDescent="0.35">
      <c r="A302" s="41">
        <v>301</v>
      </c>
      <c r="B302" s="17" t="s">
        <v>20</v>
      </c>
      <c r="C302" s="17" t="s">
        <v>28</v>
      </c>
      <c r="D302" s="17" t="s">
        <v>32</v>
      </c>
      <c r="E302" s="16">
        <v>79800062</v>
      </c>
      <c r="F302" s="41">
        <v>203</v>
      </c>
      <c r="G302" s="19" t="s">
        <v>9</v>
      </c>
    </row>
    <row r="303" spans="1:7" x14ac:dyDescent="0.35">
      <c r="A303" s="41">
        <v>302</v>
      </c>
      <c r="B303" s="17" t="s">
        <v>20</v>
      </c>
      <c r="C303" s="17" t="s">
        <v>28</v>
      </c>
      <c r="D303" s="17" t="s">
        <v>32</v>
      </c>
      <c r="E303" s="16">
        <v>79800063</v>
      </c>
      <c r="F303" s="41">
        <v>211</v>
      </c>
      <c r="G303" s="19" t="s">
        <v>27</v>
      </c>
    </row>
    <row r="304" spans="1:7" x14ac:dyDescent="0.35">
      <c r="A304" s="41">
        <v>303</v>
      </c>
      <c r="B304" s="17" t="s">
        <v>20</v>
      </c>
      <c r="C304" s="17" t="s">
        <v>28</v>
      </c>
      <c r="D304" s="17" t="s">
        <v>32</v>
      </c>
      <c r="E304" s="16">
        <v>79800067</v>
      </c>
      <c r="F304" s="41">
        <v>218</v>
      </c>
      <c r="G304" s="19" t="s">
        <v>9</v>
      </c>
    </row>
    <row r="305" spans="1:7" x14ac:dyDescent="0.35">
      <c r="A305" s="41">
        <v>304</v>
      </c>
      <c r="B305" s="17" t="s">
        <v>20</v>
      </c>
      <c r="C305" s="17" t="s">
        <v>28</v>
      </c>
      <c r="D305" s="17" t="s">
        <v>32</v>
      </c>
      <c r="E305" s="16">
        <v>79800118</v>
      </c>
      <c r="F305" s="41">
        <v>210</v>
      </c>
      <c r="G305" s="19" t="s">
        <v>27</v>
      </c>
    </row>
    <row r="306" spans="1:7" x14ac:dyDescent="0.35">
      <c r="A306" s="41">
        <v>305</v>
      </c>
      <c r="B306" s="17" t="s">
        <v>20</v>
      </c>
      <c r="C306" s="17" t="s">
        <v>28</v>
      </c>
      <c r="D306" s="17" t="s">
        <v>32</v>
      </c>
      <c r="E306" s="16">
        <v>79800125</v>
      </c>
      <c r="F306" s="41">
        <v>217</v>
      </c>
      <c r="G306" s="19" t="s">
        <v>9</v>
      </c>
    </row>
    <row r="307" spans="1:7" x14ac:dyDescent="0.35">
      <c r="A307" s="41">
        <v>306</v>
      </c>
      <c r="B307" s="17" t="s">
        <v>20</v>
      </c>
      <c r="C307" s="17" t="s">
        <v>28</v>
      </c>
      <c r="D307" s="17" t="s">
        <v>29</v>
      </c>
      <c r="E307" s="16">
        <v>79800001</v>
      </c>
      <c r="F307" s="41">
        <v>210</v>
      </c>
      <c r="G307" s="19" t="s">
        <v>9</v>
      </c>
    </row>
    <row r="308" spans="1:7" x14ac:dyDescent="0.35">
      <c r="A308" s="41">
        <v>307</v>
      </c>
      <c r="B308" s="17" t="s">
        <v>20</v>
      </c>
      <c r="C308" s="17" t="s">
        <v>28</v>
      </c>
      <c r="D308" s="17" t="s">
        <v>29</v>
      </c>
      <c r="E308" s="16">
        <v>79800002</v>
      </c>
      <c r="F308" s="41">
        <v>200</v>
      </c>
      <c r="G308" s="19" t="s">
        <v>9</v>
      </c>
    </row>
    <row r="309" spans="1:7" x14ac:dyDescent="0.35">
      <c r="A309" s="41">
        <v>308</v>
      </c>
      <c r="B309" s="17" t="s">
        <v>20</v>
      </c>
      <c r="C309" s="17" t="s">
        <v>28</v>
      </c>
      <c r="D309" s="17" t="s">
        <v>29</v>
      </c>
      <c r="E309" s="16">
        <v>79800003</v>
      </c>
      <c r="F309" s="41">
        <v>201</v>
      </c>
      <c r="G309" s="19" t="s">
        <v>9</v>
      </c>
    </row>
    <row r="310" spans="1:7" x14ac:dyDescent="0.35">
      <c r="A310" s="41">
        <v>309</v>
      </c>
      <c r="B310" s="17" t="s">
        <v>20</v>
      </c>
      <c r="C310" s="17" t="s">
        <v>28</v>
      </c>
      <c r="D310" s="17" t="s">
        <v>29</v>
      </c>
      <c r="E310" s="16">
        <v>79800004</v>
      </c>
      <c r="F310" s="41">
        <v>231</v>
      </c>
      <c r="G310" s="19" t="s">
        <v>9</v>
      </c>
    </row>
    <row r="311" spans="1:7" x14ac:dyDescent="0.35">
      <c r="A311" s="41">
        <v>310</v>
      </c>
      <c r="B311" s="17" t="s">
        <v>20</v>
      </c>
      <c r="C311" s="17" t="s">
        <v>28</v>
      </c>
      <c r="D311" s="17" t="s">
        <v>29</v>
      </c>
      <c r="E311" s="16">
        <v>79800005</v>
      </c>
      <c r="F311" s="41">
        <v>203</v>
      </c>
      <c r="G311" s="19" t="s">
        <v>9</v>
      </c>
    </row>
    <row r="312" spans="1:7" x14ac:dyDescent="0.35">
      <c r="A312" s="41">
        <v>311</v>
      </c>
      <c r="B312" s="17" t="s">
        <v>20</v>
      </c>
      <c r="C312" s="17" t="s">
        <v>28</v>
      </c>
      <c r="D312" s="17" t="s">
        <v>29</v>
      </c>
      <c r="E312" s="16">
        <v>79800006</v>
      </c>
      <c r="F312" s="41">
        <v>242</v>
      </c>
      <c r="G312" s="19" t="s">
        <v>9</v>
      </c>
    </row>
    <row r="313" spans="1:7" x14ac:dyDescent="0.35">
      <c r="A313" s="41">
        <v>312</v>
      </c>
      <c r="B313" s="17" t="s">
        <v>20</v>
      </c>
      <c r="C313" s="17" t="s">
        <v>28</v>
      </c>
      <c r="D313" s="17" t="s">
        <v>29</v>
      </c>
      <c r="E313" s="16">
        <v>79800007</v>
      </c>
      <c r="F313" s="41">
        <v>365</v>
      </c>
      <c r="G313" s="19" t="s">
        <v>27</v>
      </c>
    </row>
    <row r="314" spans="1:7" x14ac:dyDescent="0.35">
      <c r="A314" s="41">
        <v>313</v>
      </c>
      <c r="B314" s="17" t="s">
        <v>20</v>
      </c>
      <c r="C314" s="17" t="s">
        <v>28</v>
      </c>
      <c r="D314" s="17" t="s">
        <v>29</v>
      </c>
      <c r="E314" s="16">
        <v>79800008</v>
      </c>
      <c r="F314" s="41">
        <v>244</v>
      </c>
      <c r="G314" s="19" t="s">
        <v>9</v>
      </c>
    </row>
    <row r="315" spans="1:7" x14ac:dyDescent="0.35">
      <c r="A315" s="41">
        <v>314</v>
      </c>
      <c r="B315" s="17" t="s">
        <v>20</v>
      </c>
      <c r="C315" s="17" t="s">
        <v>28</v>
      </c>
      <c r="D315" s="17" t="s">
        <v>29</v>
      </c>
      <c r="E315" s="16">
        <v>79800009</v>
      </c>
      <c r="F315" s="41">
        <v>210</v>
      </c>
      <c r="G315" s="19" t="s">
        <v>27</v>
      </c>
    </row>
    <row r="316" spans="1:7" x14ac:dyDescent="0.35">
      <c r="A316" s="41">
        <v>315</v>
      </c>
      <c r="B316" s="17" t="s">
        <v>20</v>
      </c>
      <c r="C316" s="17" t="s">
        <v>28</v>
      </c>
      <c r="D316" s="17" t="s">
        <v>29</v>
      </c>
      <c r="E316" s="16">
        <v>79800119</v>
      </c>
      <c r="F316" s="41">
        <v>205</v>
      </c>
      <c r="G316" s="19" t="s">
        <v>9</v>
      </c>
    </row>
    <row r="317" spans="1:7" x14ac:dyDescent="0.35">
      <c r="A317" s="41">
        <v>316</v>
      </c>
      <c r="B317" s="17" t="s">
        <v>20</v>
      </c>
      <c r="C317" s="17" t="s">
        <v>28</v>
      </c>
      <c r="D317" s="17" t="s">
        <v>29</v>
      </c>
      <c r="E317" s="16">
        <v>79800121</v>
      </c>
      <c r="F317" s="41">
        <v>207</v>
      </c>
      <c r="G317" s="19" t="s">
        <v>9</v>
      </c>
    </row>
    <row r="318" spans="1:7" x14ac:dyDescent="0.35">
      <c r="A318" s="41">
        <v>317</v>
      </c>
      <c r="B318" s="17" t="s">
        <v>20</v>
      </c>
      <c r="C318" s="17" t="s">
        <v>28</v>
      </c>
      <c r="D318" s="17" t="s">
        <v>29</v>
      </c>
      <c r="E318" s="16">
        <v>79800131</v>
      </c>
      <c r="F318" s="41">
        <v>237</v>
      </c>
      <c r="G318" s="19" t="s">
        <v>27</v>
      </c>
    </row>
    <row r="319" spans="1:7" x14ac:dyDescent="0.35">
      <c r="A319" s="41">
        <v>318</v>
      </c>
      <c r="B319" s="17" t="s">
        <v>20</v>
      </c>
      <c r="C319" s="17" t="s">
        <v>35</v>
      </c>
      <c r="D319" s="17" t="s">
        <v>36</v>
      </c>
      <c r="E319" s="16">
        <v>74201002</v>
      </c>
      <c r="F319" s="41">
        <v>480</v>
      </c>
      <c r="G319" s="19" t="s">
        <v>9</v>
      </c>
    </row>
    <row r="320" spans="1:7" x14ac:dyDescent="0.35">
      <c r="A320" s="41">
        <v>319</v>
      </c>
      <c r="B320" s="17" t="s">
        <v>20</v>
      </c>
      <c r="C320" s="17" t="s">
        <v>35</v>
      </c>
      <c r="D320" s="17" t="s">
        <v>36</v>
      </c>
      <c r="E320" s="16">
        <v>74201003</v>
      </c>
      <c r="F320" s="41">
        <v>225</v>
      </c>
      <c r="G320" s="19" t="s">
        <v>9</v>
      </c>
    </row>
    <row r="321" spans="1:7" x14ac:dyDescent="0.35">
      <c r="A321" s="41">
        <v>320</v>
      </c>
      <c r="B321" s="17" t="s">
        <v>20</v>
      </c>
      <c r="C321" s="17" t="s">
        <v>35</v>
      </c>
      <c r="D321" s="17" t="s">
        <v>36</v>
      </c>
      <c r="E321" s="16">
        <v>74201004</v>
      </c>
      <c r="F321" s="41">
        <v>274</v>
      </c>
      <c r="G321" s="19" t="s">
        <v>9</v>
      </c>
    </row>
    <row r="322" spans="1:7" x14ac:dyDescent="0.35">
      <c r="A322" s="41">
        <v>321</v>
      </c>
      <c r="B322" s="17" t="s">
        <v>20</v>
      </c>
      <c r="C322" s="17" t="s">
        <v>35</v>
      </c>
      <c r="D322" s="17" t="s">
        <v>36</v>
      </c>
      <c r="E322" s="16">
        <v>74201006</v>
      </c>
      <c r="F322" s="41">
        <v>200</v>
      </c>
      <c r="G322" s="19" t="s">
        <v>9</v>
      </c>
    </row>
    <row r="323" spans="1:7" x14ac:dyDescent="0.35">
      <c r="A323" s="41">
        <v>322</v>
      </c>
      <c r="B323" s="17" t="s">
        <v>20</v>
      </c>
      <c r="C323" s="17" t="s">
        <v>35</v>
      </c>
      <c r="D323" s="17" t="s">
        <v>36</v>
      </c>
      <c r="E323" s="16">
        <v>74201007</v>
      </c>
      <c r="F323" s="41">
        <v>204</v>
      </c>
      <c r="G323" s="19" t="s">
        <v>9</v>
      </c>
    </row>
    <row r="324" spans="1:7" x14ac:dyDescent="0.35">
      <c r="A324" s="41">
        <v>323</v>
      </c>
      <c r="B324" s="17" t="s">
        <v>20</v>
      </c>
      <c r="C324" s="17" t="s">
        <v>35</v>
      </c>
      <c r="D324" s="17" t="s">
        <v>36</v>
      </c>
      <c r="E324" s="16">
        <v>74201008</v>
      </c>
      <c r="F324" s="41">
        <v>200</v>
      </c>
      <c r="G324" s="19" t="s">
        <v>9</v>
      </c>
    </row>
    <row r="325" spans="1:7" x14ac:dyDescent="0.35">
      <c r="A325" s="41">
        <v>324</v>
      </c>
      <c r="B325" s="17" t="s">
        <v>20</v>
      </c>
      <c r="C325" s="17" t="s">
        <v>35</v>
      </c>
      <c r="D325" s="17" t="s">
        <v>36</v>
      </c>
      <c r="E325" s="16">
        <v>74201009</v>
      </c>
      <c r="F325" s="41">
        <v>211</v>
      </c>
      <c r="G325" s="19" t="s">
        <v>27</v>
      </c>
    </row>
    <row r="326" spans="1:7" x14ac:dyDescent="0.35">
      <c r="A326" s="41">
        <v>325</v>
      </c>
      <c r="B326" s="17" t="s">
        <v>20</v>
      </c>
      <c r="C326" s="17" t="s">
        <v>35</v>
      </c>
      <c r="D326" s="17" t="s">
        <v>36</v>
      </c>
      <c r="E326" s="16">
        <v>74201012</v>
      </c>
      <c r="F326" s="41">
        <v>203</v>
      </c>
      <c r="G326" s="19" t="s">
        <v>9</v>
      </c>
    </row>
    <row r="327" spans="1:7" x14ac:dyDescent="0.35">
      <c r="A327" s="41">
        <v>326</v>
      </c>
      <c r="B327" s="17" t="s">
        <v>20</v>
      </c>
      <c r="C327" s="17" t="s">
        <v>35</v>
      </c>
      <c r="D327" s="17" t="s">
        <v>36</v>
      </c>
      <c r="E327" s="16">
        <v>74201014</v>
      </c>
      <c r="F327" s="41">
        <v>239</v>
      </c>
      <c r="G327" s="19" t="s">
        <v>9</v>
      </c>
    </row>
    <row r="328" spans="1:7" x14ac:dyDescent="0.35">
      <c r="A328" s="41">
        <v>327</v>
      </c>
      <c r="B328" s="17" t="s">
        <v>20</v>
      </c>
      <c r="C328" s="17" t="s">
        <v>35</v>
      </c>
      <c r="D328" s="17" t="s">
        <v>36</v>
      </c>
      <c r="E328" s="16">
        <v>74201017</v>
      </c>
      <c r="F328" s="41">
        <v>321</v>
      </c>
      <c r="G328" s="19" t="s">
        <v>9</v>
      </c>
    </row>
    <row r="329" spans="1:7" x14ac:dyDescent="0.35">
      <c r="A329" s="41">
        <v>328</v>
      </c>
      <c r="B329" s="17" t="s">
        <v>20</v>
      </c>
      <c r="C329" s="17" t="s">
        <v>35</v>
      </c>
      <c r="D329" s="17" t="s">
        <v>36</v>
      </c>
      <c r="E329" s="16">
        <v>74201018</v>
      </c>
      <c r="F329" s="41">
        <v>200</v>
      </c>
      <c r="G329" s="19" t="s">
        <v>9</v>
      </c>
    </row>
    <row r="330" spans="1:7" x14ac:dyDescent="0.35">
      <c r="A330" s="41">
        <v>329</v>
      </c>
      <c r="B330" s="17" t="s">
        <v>20</v>
      </c>
      <c r="C330" s="17" t="s">
        <v>35</v>
      </c>
      <c r="D330" s="17" t="s">
        <v>36</v>
      </c>
      <c r="E330" s="16">
        <v>74201019</v>
      </c>
      <c r="F330" s="41">
        <v>201</v>
      </c>
      <c r="G330" s="19" t="s">
        <v>9</v>
      </c>
    </row>
    <row r="331" spans="1:7" x14ac:dyDescent="0.35">
      <c r="A331" s="41">
        <v>330</v>
      </c>
      <c r="B331" s="17" t="s">
        <v>20</v>
      </c>
      <c r="C331" s="17" t="s">
        <v>35</v>
      </c>
      <c r="D331" s="17" t="s">
        <v>36</v>
      </c>
      <c r="E331" s="16">
        <v>74201020</v>
      </c>
      <c r="F331" s="41">
        <v>203</v>
      </c>
      <c r="G331" s="19" t="s">
        <v>9</v>
      </c>
    </row>
    <row r="332" spans="1:7" x14ac:dyDescent="0.35">
      <c r="A332" s="41">
        <v>331</v>
      </c>
      <c r="B332" s="17" t="s">
        <v>20</v>
      </c>
      <c r="C332" s="17" t="s">
        <v>35</v>
      </c>
      <c r="D332" s="17" t="s">
        <v>36</v>
      </c>
      <c r="E332" s="16">
        <v>74201021</v>
      </c>
      <c r="F332" s="41">
        <v>202</v>
      </c>
      <c r="G332" s="19" t="s">
        <v>27</v>
      </c>
    </row>
    <row r="333" spans="1:7" x14ac:dyDescent="0.35">
      <c r="A333" s="41">
        <v>332</v>
      </c>
      <c r="B333" s="17" t="s">
        <v>20</v>
      </c>
      <c r="C333" s="17" t="s">
        <v>35</v>
      </c>
      <c r="D333" s="17" t="s">
        <v>36</v>
      </c>
      <c r="E333" s="16">
        <v>74201023</v>
      </c>
      <c r="F333" s="41">
        <v>203</v>
      </c>
      <c r="G333" s="19" t="s">
        <v>27</v>
      </c>
    </row>
    <row r="334" spans="1:7" x14ac:dyDescent="0.35">
      <c r="A334" s="41">
        <v>333</v>
      </c>
      <c r="B334" s="17" t="s">
        <v>20</v>
      </c>
      <c r="C334" s="17" t="s">
        <v>35</v>
      </c>
      <c r="D334" s="17" t="s">
        <v>36</v>
      </c>
      <c r="E334" s="16">
        <v>74201024</v>
      </c>
      <c r="F334" s="41">
        <v>201</v>
      </c>
      <c r="G334" s="19" t="s">
        <v>9</v>
      </c>
    </row>
    <row r="335" spans="1:7" x14ac:dyDescent="0.35">
      <c r="A335" s="41">
        <v>334</v>
      </c>
      <c r="B335" s="17" t="s">
        <v>20</v>
      </c>
      <c r="C335" s="17" t="s">
        <v>35</v>
      </c>
      <c r="D335" s="17" t="s">
        <v>36</v>
      </c>
      <c r="E335" s="16">
        <v>74201025</v>
      </c>
      <c r="F335" s="41">
        <v>211</v>
      </c>
      <c r="G335" s="19" t="s">
        <v>27</v>
      </c>
    </row>
    <row r="336" spans="1:7" x14ac:dyDescent="0.35">
      <c r="A336" s="41">
        <v>335</v>
      </c>
      <c r="B336" s="17" t="s">
        <v>20</v>
      </c>
      <c r="C336" s="17" t="s">
        <v>35</v>
      </c>
      <c r="D336" s="17" t="s">
        <v>36</v>
      </c>
      <c r="E336" s="16">
        <v>74201026</v>
      </c>
      <c r="F336" s="41">
        <v>235</v>
      </c>
      <c r="G336" s="19" t="s">
        <v>9</v>
      </c>
    </row>
    <row r="337" spans="1:7" x14ac:dyDescent="0.35">
      <c r="A337" s="41">
        <v>336</v>
      </c>
      <c r="B337" s="17" t="s">
        <v>20</v>
      </c>
      <c r="C337" s="17" t="s">
        <v>35</v>
      </c>
      <c r="D337" s="17" t="s">
        <v>36</v>
      </c>
      <c r="E337" s="16">
        <v>74201027</v>
      </c>
      <c r="F337" s="41">
        <v>208</v>
      </c>
      <c r="G337" s="19" t="s">
        <v>9</v>
      </c>
    </row>
    <row r="338" spans="1:7" x14ac:dyDescent="0.35">
      <c r="A338" s="41">
        <v>337</v>
      </c>
      <c r="B338" s="17" t="s">
        <v>20</v>
      </c>
      <c r="C338" s="17" t="s">
        <v>35</v>
      </c>
      <c r="D338" s="17" t="s">
        <v>36</v>
      </c>
      <c r="E338" s="16">
        <v>74201028</v>
      </c>
      <c r="F338" s="41">
        <v>202</v>
      </c>
      <c r="G338" s="19" t="s">
        <v>9</v>
      </c>
    </row>
    <row r="339" spans="1:7" x14ac:dyDescent="0.35">
      <c r="A339" s="41">
        <v>338</v>
      </c>
      <c r="B339" s="17" t="s">
        <v>20</v>
      </c>
      <c r="C339" s="17" t="s">
        <v>35</v>
      </c>
      <c r="D339" s="17" t="s">
        <v>36</v>
      </c>
      <c r="E339" s="16">
        <v>74201029</v>
      </c>
      <c r="F339" s="41">
        <v>200</v>
      </c>
      <c r="G339" s="19" t="s">
        <v>9</v>
      </c>
    </row>
    <row r="340" spans="1:7" x14ac:dyDescent="0.35">
      <c r="A340" s="41">
        <v>339</v>
      </c>
      <c r="B340" s="17" t="s">
        <v>20</v>
      </c>
      <c r="C340" s="17" t="s">
        <v>35</v>
      </c>
      <c r="D340" s="17" t="s">
        <v>36</v>
      </c>
      <c r="E340" s="16">
        <v>74201030</v>
      </c>
      <c r="F340" s="41">
        <v>219</v>
      </c>
      <c r="G340" s="19" t="s">
        <v>9</v>
      </c>
    </row>
    <row r="341" spans="1:7" x14ac:dyDescent="0.35">
      <c r="A341" s="41">
        <v>340</v>
      </c>
      <c r="B341" s="17" t="s">
        <v>20</v>
      </c>
      <c r="C341" s="17" t="s">
        <v>35</v>
      </c>
      <c r="D341" s="17" t="s">
        <v>36</v>
      </c>
      <c r="E341" s="16">
        <v>74201031</v>
      </c>
      <c r="F341" s="41">
        <v>202</v>
      </c>
      <c r="G341" s="19" t="s">
        <v>9</v>
      </c>
    </row>
    <row r="342" spans="1:7" x14ac:dyDescent="0.35">
      <c r="A342" s="41">
        <v>341</v>
      </c>
      <c r="B342" s="17" t="s">
        <v>20</v>
      </c>
      <c r="C342" s="17" t="s">
        <v>35</v>
      </c>
      <c r="D342" s="17" t="s">
        <v>36</v>
      </c>
      <c r="E342" s="16">
        <v>74201032</v>
      </c>
      <c r="F342" s="41">
        <v>200</v>
      </c>
      <c r="G342" s="19" t="s">
        <v>9</v>
      </c>
    </row>
    <row r="343" spans="1:7" x14ac:dyDescent="0.35">
      <c r="A343" s="41">
        <v>342</v>
      </c>
      <c r="B343" s="17" t="s">
        <v>20</v>
      </c>
      <c r="C343" s="17" t="s">
        <v>35</v>
      </c>
      <c r="D343" s="17" t="s">
        <v>36</v>
      </c>
      <c r="E343" s="16">
        <v>74201033</v>
      </c>
      <c r="F343" s="41">
        <v>243</v>
      </c>
      <c r="G343" s="19" t="s">
        <v>9</v>
      </c>
    </row>
    <row r="344" spans="1:7" x14ac:dyDescent="0.35">
      <c r="A344" s="41">
        <v>343</v>
      </c>
      <c r="B344" s="17" t="s">
        <v>20</v>
      </c>
      <c r="C344" s="17" t="s">
        <v>35</v>
      </c>
      <c r="D344" s="17" t="s">
        <v>36</v>
      </c>
      <c r="E344" s="16">
        <v>74201034</v>
      </c>
      <c r="F344" s="41">
        <v>200</v>
      </c>
      <c r="G344" s="19" t="s">
        <v>9</v>
      </c>
    </row>
    <row r="345" spans="1:7" x14ac:dyDescent="0.35">
      <c r="A345" s="41">
        <v>344</v>
      </c>
      <c r="B345" s="17" t="s">
        <v>20</v>
      </c>
      <c r="C345" s="17" t="s">
        <v>35</v>
      </c>
      <c r="D345" s="17" t="s">
        <v>36</v>
      </c>
      <c r="E345" s="16">
        <v>74201035</v>
      </c>
      <c r="F345" s="41">
        <v>203</v>
      </c>
      <c r="G345" s="19" t="s">
        <v>9</v>
      </c>
    </row>
    <row r="346" spans="1:7" x14ac:dyDescent="0.35">
      <c r="A346" s="41">
        <v>345</v>
      </c>
      <c r="B346" s="17" t="s">
        <v>20</v>
      </c>
      <c r="C346" s="17" t="s">
        <v>35</v>
      </c>
      <c r="D346" s="17" t="s">
        <v>36</v>
      </c>
      <c r="E346" s="16">
        <v>74201036</v>
      </c>
      <c r="F346" s="41">
        <v>201</v>
      </c>
      <c r="G346" s="19" t="s">
        <v>9</v>
      </c>
    </row>
    <row r="347" spans="1:7" x14ac:dyDescent="0.35">
      <c r="A347" s="41">
        <v>346</v>
      </c>
      <c r="B347" s="17" t="s">
        <v>20</v>
      </c>
      <c r="C347" s="17" t="s">
        <v>35</v>
      </c>
      <c r="D347" s="17" t="s">
        <v>36</v>
      </c>
      <c r="E347" s="16">
        <v>74201040</v>
      </c>
      <c r="F347" s="41">
        <v>218</v>
      </c>
      <c r="G347" s="19" t="s">
        <v>27</v>
      </c>
    </row>
    <row r="348" spans="1:7" x14ac:dyDescent="0.35">
      <c r="A348" s="41">
        <v>347</v>
      </c>
      <c r="B348" s="17" t="s">
        <v>20</v>
      </c>
      <c r="C348" s="17" t="s">
        <v>35</v>
      </c>
      <c r="D348" s="17" t="s">
        <v>36</v>
      </c>
      <c r="E348" s="16">
        <v>74201041</v>
      </c>
      <c r="F348" s="41">
        <v>206</v>
      </c>
      <c r="G348" s="19" t="s">
        <v>9</v>
      </c>
    </row>
    <row r="349" spans="1:7" x14ac:dyDescent="0.35">
      <c r="A349" s="41">
        <v>348</v>
      </c>
      <c r="B349" s="17" t="s">
        <v>20</v>
      </c>
      <c r="C349" s="17" t="s">
        <v>35</v>
      </c>
      <c r="D349" s="17" t="s">
        <v>36</v>
      </c>
      <c r="E349" s="16">
        <v>74201043</v>
      </c>
      <c r="F349" s="41">
        <v>215</v>
      </c>
      <c r="G349" s="19" t="s">
        <v>9</v>
      </c>
    </row>
    <row r="350" spans="1:7" x14ac:dyDescent="0.35">
      <c r="A350" s="41">
        <v>349</v>
      </c>
      <c r="B350" s="17" t="s">
        <v>20</v>
      </c>
      <c r="C350" s="17" t="s">
        <v>35</v>
      </c>
      <c r="D350" s="17" t="s">
        <v>36</v>
      </c>
      <c r="E350" s="16">
        <v>74201044</v>
      </c>
      <c r="F350" s="41">
        <v>202</v>
      </c>
      <c r="G350" s="19" t="s">
        <v>9</v>
      </c>
    </row>
    <row r="351" spans="1:7" x14ac:dyDescent="0.35">
      <c r="A351" s="41">
        <v>350</v>
      </c>
      <c r="B351" s="17" t="s">
        <v>20</v>
      </c>
      <c r="C351" s="17" t="s">
        <v>35</v>
      </c>
      <c r="D351" s="17" t="s">
        <v>36</v>
      </c>
      <c r="E351" s="16">
        <v>74201045</v>
      </c>
      <c r="F351" s="41">
        <v>211</v>
      </c>
      <c r="G351" s="19" t="s">
        <v>27</v>
      </c>
    </row>
    <row r="352" spans="1:7" x14ac:dyDescent="0.35">
      <c r="A352" s="41">
        <v>351</v>
      </c>
      <c r="B352" s="17" t="s">
        <v>20</v>
      </c>
      <c r="C352" s="17" t="s">
        <v>35</v>
      </c>
      <c r="D352" s="17" t="s">
        <v>163</v>
      </c>
      <c r="E352" s="16">
        <v>74203001</v>
      </c>
      <c r="F352" s="41">
        <v>279</v>
      </c>
      <c r="G352" s="19" t="s">
        <v>9</v>
      </c>
    </row>
    <row r="353" spans="1:7" x14ac:dyDescent="0.35">
      <c r="A353" s="41">
        <v>352</v>
      </c>
      <c r="B353" s="17" t="s">
        <v>20</v>
      </c>
      <c r="C353" s="17" t="s">
        <v>35</v>
      </c>
      <c r="D353" s="17" t="s">
        <v>163</v>
      </c>
      <c r="E353" s="16">
        <v>74203013</v>
      </c>
      <c r="F353" s="41">
        <v>253</v>
      </c>
      <c r="G353" s="19" t="s">
        <v>9</v>
      </c>
    </row>
    <row r="354" spans="1:7" x14ac:dyDescent="0.35">
      <c r="A354" s="41">
        <v>353</v>
      </c>
      <c r="B354" s="17" t="s">
        <v>20</v>
      </c>
      <c r="C354" s="17" t="s">
        <v>35</v>
      </c>
      <c r="D354" s="17" t="s">
        <v>162</v>
      </c>
      <c r="E354" s="16">
        <v>74202001</v>
      </c>
      <c r="F354" s="41">
        <v>205</v>
      </c>
      <c r="G354" s="19" t="s">
        <v>27</v>
      </c>
    </row>
    <row r="355" spans="1:7" x14ac:dyDescent="0.35">
      <c r="A355" s="41">
        <v>354</v>
      </c>
      <c r="B355" s="17" t="s">
        <v>20</v>
      </c>
      <c r="C355" s="17" t="s">
        <v>35</v>
      </c>
      <c r="D355" s="17" t="s">
        <v>162</v>
      </c>
      <c r="E355" s="16">
        <v>74202006</v>
      </c>
      <c r="F355" s="41">
        <v>203</v>
      </c>
      <c r="G355" s="19" t="s">
        <v>9</v>
      </c>
    </row>
    <row r="356" spans="1:7" x14ac:dyDescent="0.35">
      <c r="A356" s="41">
        <v>355</v>
      </c>
      <c r="B356" s="17" t="s">
        <v>20</v>
      </c>
      <c r="C356" s="17" t="s">
        <v>35</v>
      </c>
      <c r="D356" s="17" t="s">
        <v>162</v>
      </c>
      <c r="E356" s="16">
        <v>74202010</v>
      </c>
      <c r="F356" s="44">
        <v>277</v>
      </c>
      <c r="G356" s="19" t="s">
        <v>9</v>
      </c>
    </row>
    <row r="357" spans="1:7" x14ac:dyDescent="0.35">
      <c r="A357" s="41">
        <v>356</v>
      </c>
      <c r="B357" s="17" t="s">
        <v>20</v>
      </c>
      <c r="C357" s="17" t="s">
        <v>37</v>
      </c>
      <c r="D357" s="17" t="s">
        <v>38</v>
      </c>
      <c r="E357" s="16">
        <v>79900002</v>
      </c>
      <c r="F357" s="41">
        <v>347</v>
      </c>
      <c r="G357" s="19" t="s">
        <v>27</v>
      </c>
    </row>
    <row r="358" spans="1:7" x14ac:dyDescent="0.35">
      <c r="A358" s="41">
        <v>357</v>
      </c>
      <c r="B358" s="17" t="s">
        <v>20</v>
      </c>
      <c r="C358" s="17" t="s">
        <v>37</v>
      </c>
      <c r="D358" s="17" t="s">
        <v>38</v>
      </c>
      <c r="E358" s="16">
        <v>79900004</v>
      </c>
      <c r="F358" s="41">
        <v>217</v>
      </c>
      <c r="G358" s="19" t="s">
        <v>9</v>
      </c>
    </row>
    <row r="359" spans="1:7" x14ac:dyDescent="0.35">
      <c r="A359" s="41">
        <v>358</v>
      </c>
      <c r="B359" s="17" t="s">
        <v>20</v>
      </c>
      <c r="C359" s="17" t="s">
        <v>37</v>
      </c>
      <c r="D359" s="17" t="s">
        <v>38</v>
      </c>
      <c r="E359" s="16">
        <v>79900009</v>
      </c>
      <c r="F359" s="41">
        <v>471</v>
      </c>
      <c r="G359" s="19" t="s">
        <v>9</v>
      </c>
    </row>
    <row r="360" spans="1:7" x14ac:dyDescent="0.35">
      <c r="A360" s="41">
        <v>359</v>
      </c>
      <c r="B360" s="17" t="s">
        <v>20</v>
      </c>
      <c r="C360" s="17" t="s">
        <v>37</v>
      </c>
      <c r="D360" s="17" t="s">
        <v>38</v>
      </c>
      <c r="E360" s="16">
        <v>79900011</v>
      </c>
      <c r="F360" s="41">
        <v>226</v>
      </c>
      <c r="G360" s="19" t="s">
        <v>9</v>
      </c>
    </row>
    <row r="361" spans="1:7" x14ac:dyDescent="0.35">
      <c r="A361" s="41">
        <v>360</v>
      </c>
      <c r="B361" s="17" t="s">
        <v>20</v>
      </c>
      <c r="C361" s="17" t="s">
        <v>37</v>
      </c>
      <c r="D361" s="17" t="s">
        <v>38</v>
      </c>
      <c r="E361" s="16">
        <v>79900012</v>
      </c>
      <c r="F361" s="41">
        <v>239</v>
      </c>
      <c r="G361" s="19" t="s">
        <v>9</v>
      </c>
    </row>
    <row r="362" spans="1:7" x14ac:dyDescent="0.35">
      <c r="A362" s="41">
        <v>361</v>
      </c>
      <c r="B362" s="17" t="s">
        <v>20</v>
      </c>
      <c r="C362" s="17" t="s">
        <v>37</v>
      </c>
      <c r="D362" s="17" t="s">
        <v>38</v>
      </c>
      <c r="E362" s="16">
        <v>79900019</v>
      </c>
      <c r="F362" s="41">
        <v>208</v>
      </c>
      <c r="G362" s="19" t="s">
        <v>9</v>
      </c>
    </row>
    <row r="363" spans="1:7" x14ac:dyDescent="0.35">
      <c r="A363" s="41">
        <v>362</v>
      </c>
      <c r="B363" s="17" t="s">
        <v>20</v>
      </c>
      <c r="C363" s="17" t="s">
        <v>37</v>
      </c>
      <c r="D363" s="17" t="s">
        <v>38</v>
      </c>
      <c r="E363" s="16">
        <v>79900020</v>
      </c>
      <c r="F363" s="41">
        <v>204</v>
      </c>
      <c r="G363" s="19" t="s">
        <v>9</v>
      </c>
    </row>
    <row r="364" spans="1:7" x14ac:dyDescent="0.35">
      <c r="A364" s="41">
        <v>363</v>
      </c>
      <c r="B364" s="17" t="s">
        <v>20</v>
      </c>
      <c r="C364" s="17" t="s">
        <v>37</v>
      </c>
      <c r="D364" s="17" t="s">
        <v>38</v>
      </c>
      <c r="E364" s="16">
        <v>79900021</v>
      </c>
      <c r="F364" s="41">
        <v>214</v>
      </c>
      <c r="G364" s="19" t="s">
        <v>9</v>
      </c>
    </row>
    <row r="365" spans="1:7" x14ac:dyDescent="0.35">
      <c r="A365" s="41">
        <v>364</v>
      </c>
      <c r="B365" s="17" t="s">
        <v>20</v>
      </c>
      <c r="C365" s="17" t="s">
        <v>37</v>
      </c>
      <c r="D365" s="17" t="s">
        <v>38</v>
      </c>
      <c r="E365" s="16">
        <v>79900022</v>
      </c>
      <c r="F365" s="41">
        <v>201</v>
      </c>
      <c r="G365" s="19" t="s">
        <v>9</v>
      </c>
    </row>
    <row r="366" spans="1:7" x14ac:dyDescent="0.35">
      <c r="A366" s="41">
        <v>365</v>
      </c>
      <c r="B366" s="17" t="s">
        <v>20</v>
      </c>
      <c r="C366" s="17" t="s">
        <v>37</v>
      </c>
      <c r="D366" s="17" t="s">
        <v>38</v>
      </c>
      <c r="E366" s="16">
        <v>79900024</v>
      </c>
      <c r="F366" s="45">
        <v>222</v>
      </c>
      <c r="G366" s="19" t="s">
        <v>9</v>
      </c>
    </row>
    <row r="367" spans="1:7" x14ac:dyDescent="0.35">
      <c r="A367" s="41">
        <v>366</v>
      </c>
      <c r="B367" s="17" t="s">
        <v>20</v>
      </c>
      <c r="C367" s="17" t="s">
        <v>37</v>
      </c>
      <c r="D367" s="17" t="s">
        <v>38</v>
      </c>
      <c r="E367" s="16">
        <v>79900025</v>
      </c>
      <c r="F367" s="41">
        <v>208</v>
      </c>
      <c r="G367" s="19" t="s">
        <v>9</v>
      </c>
    </row>
    <row r="368" spans="1:7" x14ac:dyDescent="0.35">
      <c r="A368" s="41">
        <v>367</v>
      </c>
      <c r="B368" s="17" t="s">
        <v>20</v>
      </c>
      <c r="C368" s="17" t="s">
        <v>37</v>
      </c>
      <c r="D368" s="17" t="s">
        <v>38</v>
      </c>
      <c r="E368" s="16">
        <v>79900026</v>
      </c>
      <c r="F368" s="41">
        <v>244</v>
      </c>
      <c r="G368" s="19" t="s">
        <v>9</v>
      </c>
    </row>
    <row r="369" spans="1:7" x14ac:dyDescent="0.35">
      <c r="A369" s="41">
        <v>368</v>
      </c>
      <c r="B369" s="17" t="s">
        <v>20</v>
      </c>
      <c r="C369" s="17" t="s">
        <v>37</v>
      </c>
      <c r="D369" s="17" t="s">
        <v>38</v>
      </c>
      <c r="E369" s="16">
        <v>79900027</v>
      </c>
      <c r="F369" s="41">
        <v>225</v>
      </c>
      <c r="G369" s="19" t="s">
        <v>9</v>
      </c>
    </row>
    <row r="370" spans="1:7" x14ac:dyDescent="0.35">
      <c r="A370" s="41">
        <v>369</v>
      </c>
      <c r="B370" s="17" t="s">
        <v>20</v>
      </c>
      <c r="C370" s="17" t="s">
        <v>37</v>
      </c>
      <c r="D370" s="17" t="s">
        <v>38</v>
      </c>
      <c r="E370" s="16">
        <v>79900029</v>
      </c>
      <c r="F370" s="41">
        <v>217</v>
      </c>
      <c r="G370" s="19" t="s">
        <v>9</v>
      </c>
    </row>
    <row r="371" spans="1:7" x14ac:dyDescent="0.35">
      <c r="A371" s="41">
        <v>370</v>
      </c>
      <c r="B371" s="17" t="s">
        <v>20</v>
      </c>
      <c r="C371" s="17" t="s">
        <v>37</v>
      </c>
      <c r="D371" s="17" t="s">
        <v>38</v>
      </c>
      <c r="E371" s="16">
        <v>79900030</v>
      </c>
      <c r="F371" s="41">
        <v>204</v>
      </c>
      <c r="G371" s="19" t="s">
        <v>9</v>
      </c>
    </row>
    <row r="372" spans="1:7" x14ac:dyDescent="0.35">
      <c r="A372" s="41">
        <v>371</v>
      </c>
      <c r="B372" s="17" t="s">
        <v>20</v>
      </c>
      <c r="C372" s="17" t="s">
        <v>37</v>
      </c>
      <c r="D372" s="17" t="s">
        <v>38</v>
      </c>
      <c r="E372" s="16">
        <v>79900031</v>
      </c>
      <c r="F372" s="41">
        <v>202</v>
      </c>
      <c r="G372" s="19" t="s">
        <v>9</v>
      </c>
    </row>
    <row r="373" spans="1:7" x14ac:dyDescent="0.35">
      <c r="A373" s="41">
        <v>372</v>
      </c>
      <c r="B373" s="17" t="s">
        <v>20</v>
      </c>
      <c r="C373" s="17" t="s">
        <v>37</v>
      </c>
      <c r="D373" s="17" t="s">
        <v>38</v>
      </c>
      <c r="E373" s="16">
        <v>79900032</v>
      </c>
      <c r="F373" s="41">
        <v>207</v>
      </c>
      <c r="G373" s="19" t="s">
        <v>9</v>
      </c>
    </row>
    <row r="374" spans="1:7" x14ac:dyDescent="0.35">
      <c r="A374" s="41">
        <v>373</v>
      </c>
      <c r="B374" s="17" t="s">
        <v>20</v>
      </c>
      <c r="C374" s="17" t="s">
        <v>37</v>
      </c>
      <c r="D374" s="17" t="s">
        <v>38</v>
      </c>
      <c r="E374" s="16">
        <v>79900033</v>
      </c>
      <c r="F374" s="41">
        <v>289</v>
      </c>
      <c r="G374" s="19" t="s">
        <v>9</v>
      </c>
    </row>
    <row r="375" spans="1:7" x14ac:dyDescent="0.35">
      <c r="A375" s="41">
        <v>374</v>
      </c>
      <c r="B375" s="17" t="s">
        <v>20</v>
      </c>
      <c r="C375" s="17" t="s">
        <v>37</v>
      </c>
      <c r="D375" s="17" t="s">
        <v>38</v>
      </c>
      <c r="E375" s="16">
        <v>79900034</v>
      </c>
      <c r="F375" s="41">
        <v>214</v>
      </c>
      <c r="G375" s="19" t="s">
        <v>9</v>
      </c>
    </row>
    <row r="376" spans="1:7" x14ac:dyDescent="0.35">
      <c r="A376" s="41">
        <v>375</v>
      </c>
      <c r="B376" s="17" t="s">
        <v>20</v>
      </c>
      <c r="C376" s="17" t="s">
        <v>37</v>
      </c>
      <c r="D376" s="17" t="s">
        <v>38</v>
      </c>
      <c r="E376" s="16">
        <v>79900035</v>
      </c>
      <c r="F376" s="41">
        <v>206</v>
      </c>
      <c r="G376" s="19" t="s">
        <v>9</v>
      </c>
    </row>
    <row r="377" spans="1:7" x14ac:dyDescent="0.35">
      <c r="A377" s="41">
        <v>376</v>
      </c>
      <c r="B377" s="17" t="s">
        <v>20</v>
      </c>
      <c r="C377" s="17" t="s">
        <v>37</v>
      </c>
      <c r="D377" s="17" t="s">
        <v>38</v>
      </c>
      <c r="E377" s="16">
        <v>79900036</v>
      </c>
      <c r="F377" s="41">
        <v>232</v>
      </c>
      <c r="G377" s="19" t="s">
        <v>9</v>
      </c>
    </row>
    <row r="378" spans="1:7" x14ac:dyDescent="0.35">
      <c r="A378" s="41">
        <v>377</v>
      </c>
      <c r="B378" s="17" t="s">
        <v>20</v>
      </c>
      <c r="C378" s="17" t="s">
        <v>37</v>
      </c>
      <c r="D378" s="17" t="s">
        <v>38</v>
      </c>
      <c r="E378" s="16">
        <v>79900037</v>
      </c>
      <c r="F378" s="41">
        <v>208</v>
      </c>
      <c r="G378" s="19" t="s">
        <v>9</v>
      </c>
    </row>
    <row r="379" spans="1:7" x14ac:dyDescent="0.35">
      <c r="A379" s="41">
        <v>378</v>
      </c>
      <c r="B379" s="17" t="s">
        <v>20</v>
      </c>
      <c r="C379" s="17" t="s">
        <v>37</v>
      </c>
      <c r="D379" s="17" t="s">
        <v>38</v>
      </c>
      <c r="E379" s="16">
        <v>79900039</v>
      </c>
      <c r="F379" s="41">
        <v>255</v>
      </c>
      <c r="G379" s="19" t="s">
        <v>9</v>
      </c>
    </row>
    <row r="380" spans="1:7" x14ac:dyDescent="0.35">
      <c r="A380" s="41">
        <v>379</v>
      </c>
      <c r="B380" s="17" t="s">
        <v>20</v>
      </c>
      <c r="C380" s="17" t="s">
        <v>37</v>
      </c>
      <c r="D380" s="17" t="s">
        <v>38</v>
      </c>
      <c r="E380" s="16">
        <v>79900088</v>
      </c>
      <c r="F380" s="41">
        <v>203</v>
      </c>
      <c r="G380" s="19" t="s">
        <v>9</v>
      </c>
    </row>
    <row r="381" spans="1:7" x14ac:dyDescent="0.35">
      <c r="A381" s="41">
        <v>380</v>
      </c>
      <c r="B381" s="17" t="s">
        <v>20</v>
      </c>
      <c r="C381" s="17" t="s">
        <v>37</v>
      </c>
      <c r="D381" s="17" t="s">
        <v>38</v>
      </c>
      <c r="E381" s="16">
        <v>79900089</v>
      </c>
      <c r="F381" s="41">
        <v>209</v>
      </c>
      <c r="G381" s="19" t="s">
        <v>9</v>
      </c>
    </row>
    <row r="382" spans="1:7" x14ac:dyDescent="0.35">
      <c r="A382" s="41">
        <v>381</v>
      </c>
      <c r="B382" s="17" t="s">
        <v>20</v>
      </c>
      <c r="C382" s="17" t="s">
        <v>37</v>
      </c>
      <c r="D382" s="17" t="s">
        <v>38</v>
      </c>
      <c r="E382" s="16">
        <v>79900090</v>
      </c>
      <c r="F382" s="41">
        <v>223</v>
      </c>
      <c r="G382" s="19" t="s">
        <v>9</v>
      </c>
    </row>
    <row r="383" spans="1:7" x14ac:dyDescent="0.35">
      <c r="A383" s="41">
        <v>382</v>
      </c>
      <c r="B383" s="17" t="s">
        <v>20</v>
      </c>
      <c r="C383" s="17" t="s">
        <v>37</v>
      </c>
      <c r="D383" s="17" t="s">
        <v>38</v>
      </c>
      <c r="E383" s="16">
        <v>79900094</v>
      </c>
      <c r="F383" s="41">
        <v>216</v>
      </c>
      <c r="G383" s="19" t="s">
        <v>9</v>
      </c>
    </row>
    <row r="384" spans="1:7" x14ac:dyDescent="0.35">
      <c r="A384" s="41">
        <v>383</v>
      </c>
      <c r="B384" s="17" t="s">
        <v>20</v>
      </c>
      <c r="C384" s="17" t="s">
        <v>37</v>
      </c>
      <c r="D384" s="17" t="s">
        <v>38</v>
      </c>
      <c r="E384" s="16">
        <v>79900098</v>
      </c>
      <c r="F384" s="41">
        <v>206</v>
      </c>
      <c r="G384" s="19" t="s">
        <v>9</v>
      </c>
    </row>
    <row r="385" spans="1:7" x14ac:dyDescent="0.35">
      <c r="A385" s="41">
        <v>384</v>
      </c>
      <c r="B385" s="17" t="s">
        <v>20</v>
      </c>
      <c r="C385" s="17" t="s">
        <v>37</v>
      </c>
      <c r="D385" s="17" t="s">
        <v>40</v>
      </c>
      <c r="E385" s="16">
        <v>79900005</v>
      </c>
      <c r="F385" s="41">
        <v>213</v>
      </c>
      <c r="G385" s="19" t="s">
        <v>27</v>
      </c>
    </row>
    <row r="386" spans="1:7" x14ac:dyDescent="0.35">
      <c r="A386" s="41">
        <v>385</v>
      </c>
      <c r="B386" s="17" t="s">
        <v>20</v>
      </c>
      <c r="C386" s="17" t="s">
        <v>37</v>
      </c>
      <c r="D386" s="17" t="s">
        <v>40</v>
      </c>
      <c r="E386" s="16">
        <v>79900013</v>
      </c>
      <c r="F386" s="41">
        <v>207</v>
      </c>
      <c r="G386" s="19" t="s">
        <v>9</v>
      </c>
    </row>
    <row r="387" spans="1:7" x14ac:dyDescent="0.35">
      <c r="A387" s="41">
        <v>386</v>
      </c>
      <c r="B387" s="17" t="s">
        <v>20</v>
      </c>
      <c r="C387" s="17" t="s">
        <v>37</v>
      </c>
      <c r="D387" s="17" t="s">
        <v>40</v>
      </c>
      <c r="E387" s="16">
        <v>79900014</v>
      </c>
      <c r="F387" s="41">
        <v>200</v>
      </c>
      <c r="G387" s="19" t="s">
        <v>9</v>
      </c>
    </row>
    <row r="388" spans="1:7" x14ac:dyDescent="0.35">
      <c r="A388" s="41">
        <v>387</v>
      </c>
      <c r="B388" s="17" t="s">
        <v>20</v>
      </c>
      <c r="C388" s="17" t="s">
        <v>37</v>
      </c>
      <c r="D388" s="17" t="s">
        <v>40</v>
      </c>
      <c r="E388" s="16">
        <v>79900049</v>
      </c>
      <c r="F388" s="41">
        <v>204</v>
      </c>
      <c r="G388" s="19" t="s">
        <v>9</v>
      </c>
    </row>
    <row r="389" spans="1:7" x14ac:dyDescent="0.35">
      <c r="A389" s="41">
        <v>388</v>
      </c>
      <c r="B389" s="17" t="s">
        <v>20</v>
      </c>
      <c r="C389" s="17" t="s">
        <v>37</v>
      </c>
      <c r="D389" s="17" t="s">
        <v>40</v>
      </c>
      <c r="E389" s="16">
        <v>79900073</v>
      </c>
      <c r="F389" s="41">
        <v>241</v>
      </c>
      <c r="G389" s="19" t="s">
        <v>9</v>
      </c>
    </row>
    <row r="390" spans="1:7" x14ac:dyDescent="0.35">
      <c r="A390" s="41">
        <v>389</v>
      </c>
      <c r="B390" s="17" t="s">
        <v>20</v>
      </c>
      <c r="C390" s="17" t="s">
        <v>37</v>
      </c>
      <c r="D390" s="17" t="s">
        <v>40</v>
      </c>
      <c r="E390" s="16">
        <v>79900074</v>
      </c>
      <c r="F390" s="41">
        <v>399</v>
      </c>
      <c r="G390" s="19" t="s">
        <v>9</v>
      </c>
    </row>
    <row r="391" spans="1:7" x14ac:dyDescent="0.35">
      <c r="A391" s="41">
        <v>390</v>
      </c>
      <c r="B391" s="17" t="s">
        <v>20</v>
      </c>
      <c r="C391" s="17" t="s">
        <v>37</v>
      </c>
      <c r="D391" s="17" t="s">
        <v>40</v>
      </c>
      <c r="E391" s="16">
        <v>79900095</v>
      </c>
      <c r="F391" s="41">
        <v>300</v>
      </c>
      <c r="G391" s="19" t="s">
        <v>9</v>
      </c>
    </row>
    <row r="392" spans="1:7" x14ac:dyDescent="0.35">
      <c r="A392" s="41">
        <v>391</v>
      </c>
      <c r="B392" s="17" t="s">
        <v>20</v>
      </c>
      <c r="C392" s="17" t="s">
        <v>37</v>
      </c>
      <c r="D392" s="17" t="s">
        <v>40</v>
      </c>
      <c r="E392" s="16">
        <v>79900096</v>
      </c>
      <c r="F392" s="41">
        <v>238</v>
      </c>
      <c r="G392" s="19" t="s">
        <v>9</v>
      </c>
    </row>
    <row r="393" spans="1:7" x14ac:dyDescent="0.35">
      <c r="A393" s="41">
        <v>392</v>
      </c>
      <c r="B393" s="17" t="s">
        <v>20</v>
      </c>
      <c r="C393" s="17" t="s">
        <v>37</v>
      </c>
      <c r="D393" s="17" t="s">
        <v>39</v>
      </c>
      <c r="E393" s="16">
        <v>79900001</v>
      </c>
      <c r="F393" s="41">
        <v>258</v>
      </c>
      <c r="G393" s="19" t="s">
        <v>27</v>
      </c>
    </row>
    <row r="394" spans="1:7" x14ac:dyDescent="0.35">
      <c r="A394" s="41">
        <v>393</v>
      </c>
      <c r="B394" s="17" t="s">
        <v>20</v>
      </c>
      <c r="C394" s="17" t="s">
        <v>37</v>
      </c>
      <c r="D394" s="17" t="s">
        <v>39</v>
      </c>
      <c r="E394" s="16">
        <v>79900003</v>
      </c>
      <c r="F394" s="41">
        <v>224</v>
      </c>
      <c r="G394" s="19" t="s">
        <v>9</v>
      </c>
    </row>
    <row r="395" spans="1:7" x14ac:dyDescent="0.35">
      <c r="A395" s="41">
        <v>394</v>
      </c>
      <c r="B395" s="17" t="s">
        <v>20</v>
      </c>
      <c r="C395" s="17" t="s">
        <v>37</v>
      </c>
      <c r="D395" s="17" t="s">
        <v>39</v>
      </c>
      <c r="E395" s="16">
        <v>79900007</v>
      </c>
      <c r="F395" s="41">
        <v>214</v>
      </c>
      <c r="G395" s="19" t="s">
        <v>9</v>
      </c>
    </row>
    <row r="396" spans="1:7" x14ac:dyDescent="0.35">
      <c r="A396" s="41">
        <v>395</v>
      </c>
      <c r="B396" s="17" t="s">
        <v>20</v>
      </c>
      <c r="C396" s="17" t="s">
        <v>37</v>
      </c>
      <c r="D396" s="17" t="s">
        <v>39</v>
      </c>
      <c r="E396" s="16">
        <v>79900042</v>
      </c>
      <c r="F396" s="41">
        <v>229</v>
      </c>
      <c r="G396" s="19" t="s">
        <v>27</v>
      </c>
    </row>
    <row r="397" spans="1:7" x14ac:dyDescent="0.35">
      <c r="A397" s="41">
        <v>396</v>
      </c>
      <c r="B397" s="17" t="s">
        <v>20</v>
      </c>
      <c r="C397" s="17" t="s">
        <v>37</v>
      </c>
      <c r="D397" s="17" t="s">
        <v>39</v>
      </c>
      <c r="E397" s="16">
        <v>79900051</v>
      </c>
      <c r="F397" s="41">
        <v>210</v>
      </c>
      <c r="G397" s="19" t="s">
        <v>9</v>
      </c>
    </row>
    <row r="398" spans="1:7" x14ac:dyDescent="0.35">
      <c r="A398" s="41">
        <v>397</v>
      </c>
      <c r="B398" s="17" t="s">
        <v>20</v>
      </c>
      <c r="C398" s="17" t="s">
        <v>37</v>
      </c>
      <c r="D398" s="17" t="s">
        <v>39</v>
      </c>
      <c r="E398" s="16">
        <v>79900052</v>
      </c>
      <c r="F398" s="41">
        <v>237</v>
      </c>
      <c r="G398" s="19" t="s">
        <v>27</v>
      </c>
    </row>
    <row r="399" spans="1:7" x14ac:dyDescent="0.35">
      <c r="A399" s="41">
        <v>398</v>
      </c>
      <c r="B399" s="17" t="s">
        <v>20</v>
      </c>
      <c r="C399" s="17" t="s">
        <v>37</v>
      </c>
      <c r="D399" s="17" t="s">
        <v>39</v>
      </c>
      <c r="E399" s="16">
        <v>79900053</v>
      </c>
      <c r="F399" s="41">
        <v>232</v>
      </c>
      <c r="G399" s="19" t="s">
        <v>27</v>
      </c>
    </row>
    <row r="400" spans="1:7" x14ac:dyDescent="0.35">
      <c r="A400" s="41">
        <v>399</v>
      </c>
      <c r="B400" s="17" t="s">
        <v>20</v>
      </c>
      <c r="C400" s="17" t="s">
        <v>37</v>
      </c>
      <c r="D400" s="17" t="s">
        <v>39</v>
      </c>
      <c r="E400" s="16">
        <v>79900055</v>
      </c>
      <c r="F400" s="41">
        <v>220</v>
      </c>
      <c r="G400" s="19" t="s">
        <v>9</v>
      </c>
    </row>
    <row r="401" spans="1:7" x14ac:dyDescent="0.35">
      <c r="A401" s="41">
        <v>400</v>
      </c>
      <c r="B401" s="17" t="s">
        <v>20</v>
      </c>
      <c r="C401" s="17" t="s">
        <v>37</v>
      </c>
      <c r="D401" s="17" t="s">
        <v>39</v>
      </c>
      <c r="E401" s="16">
        <v>79900056</v>
      </c>
      <c r="F401" s="41">
        <v>208</v>
      </c>
      <c r="G401" s="19" t="s">
        <v>9</v>
      </c>
    </row>
    <row r="402" spans="1:7" x14ac:dyDescent="0.35">
      <c r="A402" s="41">
        <v>401</v>
      </c>
      <c r="B402" s="17" t="s">
        <v>20</v>
      </c>
      <c r="C402" s="17" t="s">
        <v>37</v>
      </c>
      <c r="D402" s="17" t="s">
        <v>39</v>
      </c>
      <c r="E402" s="16">
        <v>79900058</v>
      </c>
      <c r="F402" s="41">
        <v>485</v>
      </c>
      <c r="G402" s="19" t="s">
        <v>9</v>
      </c>
    </row>
    <row r="403" spans="1:7" x14ac:dyDescent="0.35">
      <c r="A403" s="41">
        <v>402</v>
      </c>
      <c r="B403" s="17" t="s">
        <v>20</v>
      </c>
      <c r="C403" s="17" t="s">
        <v>37</v>
      </c>
      <c r="D403" s="17" t="s">
        <v>39</v>
      </c>
      <c r="E403" s="16">
        <v>79900059</v>
      </c>
      <c r="F403" s="41">
        <v>207</v>
      </c>
      <c r="G403" s="19" t="s">
        <v>9</v>
      </c>
    </row>
    <row r="404" spans="1:7" x14ac:dyDescent="0.35">
      <c r="A404" s="41">
        <v>403</v>
      </c>
      <c r="B404" s="17" t="s">
        <v>20</v>
      </c>
      <c r="C404" s="17" t="s">
        <v>37</v>
      </c>
      <c r="D404" s="17" t="s">
        <v>39</v>
      </c>
      <c r="E404" s="16">
        <v>79900060</v>
      </c>
      <c r="F404" s="41">
        <v>201</v>
      </c>
      <c r="G404" s="19" t="s">
        <v>9</v>
      </c>
    </row>
    <row r="405" spans="1:7" x14ac:dyDescent="0.35">
      <c r="A405" s="41">
        <v>404</v>
      </c>
      <c r="B405" s="17" t="s">
        <v>20</v>
      </c>
      <c r="C405" s="17" t="s">
        <v>37</v>
      </c>
      <c r="D405" s="17" t="s">
        <v>39</v>
      </c>
      <c r="E405" s="16">
        <v>79900062</v>
      </c>
      <c r="F405" s="41">
        <v>207</v>
      </c>
      <c r="G405" s="19" t="s">
        <v>9</v>
      </c>
    </row>
    <row r="406" spans="1:7" x14ac:dyDescent="0.35">
      <c r="A406" s="41">
        <v>405</v>
      </c>
      <c r="B406" s="17" t="s">
        <v>20</v>
      </c>
      <c r="C406" s="17" t="s">
        <v>37</v>
      </c>
      <c r="D406" s="17" t="s">
        <v>39</v>
      </c>
      <c r="E406" s="16">
        <v>79900063</v>
      </c>
      <c r="F406" s="41">
        <v>223</v>
      </c>
      <c r="G406" s="19" t="s">
        <v>9</v>
      </c>
    </row>
    <row r="407" spans="1:7" x14ac:dyDescent="0.35">
      <c r="A407" s="41">
        <v>406</v>
      </c>
      <c r="B407" s="17" t="s">
        <v>20</v>
      </c>
      <c r="C407" s="17" t="s">
        <v>37</v>
      </c>
      <c r="D407" s="17" t="s">
        <v>39</v>
      </c>
      <c r="E407" s="16">
        <v>79900068</v>
      </c>
      <c r="F407" s="41">
        <v>215</v>
      </c>
      <c r="G407" s="19" t="s">
        <v>9</v>
      </c>
    </row>
    <row r="408" spans="1:7" x14ac:dyDescent="0.35">
      <c r="A408" s="41">
        <v>407</v>
      </c>
      <c r="B408" s="17" t="s">
        <v>20</v>
      </c>
      <c r="C408" s="17" t="s">
        <v>37</v>
      </c>
      <c r="D408" s="17" t="s">
        <v>39</v>
      </c>
      <c r="E408" s="16">
        <v>79900071</v>
      </c>
      <c r="F408" s="41">
        <v>233</v>
      </c>
      <c r="G408" s="19" t="s">
        <v>9</v>
      </c>
    </row>
    <row r="409" spans="1:7" x14ac:dyDescent="0.35">
      <c r="A409" s="41">
        <v>408</v>
      </c>
      <c r="B409" s="17" t="s">
        <v>20</v>
      </c>
      <c r="C409" s="17" t="s">
        <v>37</v>
      </c>
      <c r="D409" s="17" t="s">
        <v>39</v>
      </c>
      <c r="E409" s="16">
        <v>79900072</v>
      </c>
      <c r="F409" s="41">
        <v>203</v>
      </c>
      <c r="G409" s="19" t="s">
        <v>9</v>
      </c>
    </row>
    <row r="410" spans="1:7" x14ac:dyDescent="0.35">
      <c r="A410" s="41">
        <v>409</v>
      </c>
      <c r="B410" s="17" t="s">
        <v>20</v>
      </c>
      <c r="C410" s="17" t="s">
        <v>37</v>
      </c>
      <c r="D410" s="17" t="s">
        <v>39</v>
      </c>
      <c r="E410" s="16">
        <v>79900080</v>
      </c>
      <c r="F410" s="41">
        <v>264</v>
      </c>
      <c r="G410" s="19" t="s">
        <v>9</v>
      </c>
    </row>
    <row r="411" spans="1:7" x14ac:dyDescent="0.35">
      <c r="A411" s="41">
        <v>410</v>
      </c>
      <c r="B411" s="17" t="s">
        <v>20</v>
      </c>
      <c r="C411" s="17" t="s">
        <v>37</v>
      </c>
      <c r="D411" s="17" t="s">
        <v>39</v>
      </c>
      <c r="E411" s="16">
        <v>79900081</v>
      </c>
      <c r="F411" s="41">
        <v>217</v>
      </c>
      <c r="G411" s="19" t="s">
        <v>9</v>
      </c>
    </row>
    <row r="412" spans="1:7" x14ac:dyDescent="0.35">
      <c r="A412" s="41">
        <v>411</v>
      </c>
      <c r="B412" s="17" t="s">
        <v>20</v>
      </c>
      <c r="C412" s="17" t="s">
        <v>37</v>
      </c>
      <c r="D412" s="17" t="s">
        <v>39</v>
      </c>
      <c r="E412" s="16">
        <v>79900082</v>
      </c>
      <c r="F412" s="41">
        <v>202</v>
      </c>
      <c r="G412" s="19" t="s">
        <v>27</v>
      </c>
    </row>
    <row r="413" spans="1:7" x14ac:dyDescent="0.35">
      <c r="A413" s="41">
        <v>412</v>
      </c>
      <c r="B413" s="17" t="s">
        <v>20</v>
      </c>
      <c r="C413" s="17" t="s">
        <v>37</v>
      </c>
      <c r="D413" s="17" t="s">
        <v>39</v>
      </c>
      <c r="E413" s="16">
        <v>79900084</v>
      </c>
      <c r="F413" s="41">
        <v>202</v>
      </c>
      <c r="G413" s="19" t="s">
        <v>27</v>
      </c>
    </row>
    <row r="414" spans="1:7" x14ac:dyDescent="0.35">
      <c r="A414" s="41">
        <v>413</v>
      </c>
      <c r="B414" s="17" t="s">
        <v>20</v>
      </c>
      <c r="C414" s="17" t="s">
        <v>37</v>
      </c>
      <c r="D414" s="17" t="s">
        <v>39</v>
      </c>
      <c r="E414" s="16">
        <v>79900107</v>
      </c>
      <c r="F414" s="41">
        <v>203</v>
      </c>
      <c r="G414" s="19" t="s">
        <v>9</v>
      </c>
    </row>
    <row r="415" spans="1:7" x14ac:dyDescent="0.35">
      <c r="A415" s="41">
        <v>414</v>
      </c>
      <c r="B415" s="17" t="s">
        <v>20</v>
      </c>
      <c r="C415" s="17" t="s">
        <v>37</v>
      </c>
      <c r="D415" s="17" t="s">
        <v>347</v>
      </c>
      <c r="E415" s="16">
        <v>79900048</v>
      </c>
      <c r="F415" s="41">
        <v>210</v>
      </c>
      <c r="G415" s="19" t="s">
        <v>9</v>
      </c>
    </row>
    <row r="416" spans="1:7" x14ac:dyDescent="0.35">
      <c r="A416" s="41">
        <v>415</v>
      </c>
      <c r="B416" s="17" t="s">
        <v>20</v>
      </c>
      <c r="C416" s="17" t="s">
        <v>37</v>
      </c>
      <c r="D416" s="17" t="s">
        <v>347</v>
      </c>
      <c r="E416" s="16">
        <v>79900057</v>
      </c>
      <c r="F416" s="41">
        <v>210</v>
      </c>
      <c r="G416" s="19" t="s">
        <v>9</v>
      </c>
    </row>
    <row r="417" spans="1:7" x14ac:dyDescent="0.35">
      <c r="A417" s="41">
        <v>416</v>
      </c>
      <c r="B417" s="17" t="s">
        <v>20</v>
      </c>
      <c r="C417" s="17" t="s">
        <v>37</v>
      </c>
      <c r="D417" s="17" t="s">
        <v>347</v>
      </c>
      <c r="E417" s="16">
        <v>79900061</v>
      </c>
      <c r="F417" s="41">
        <v>200</v>
      </c>
      <c r="G417" s="19" t="s">
        <v>27</v>
      </c>
    </row>
    <row r="418" spans="1:7" x14ac:dyDescent="0.35">
      <c r="A418" s="41">
        <v>417</v>
      </c>
      <c r="B418" s="17" t="s">
        <v>20</v>
      </c>
      <c r="C418" s="17" t="s">
        <v>37</v>
      </c>
      <c r="D418" s="17" t="s">
        <v>347</v>
      </c>
      <c r="E418" s="16">
        <v>79900064</v>
      </c>
      <c r="F418" s="41">
        <v>201</v>
      </c>
      <c r="G418" s="19" t="s">
        <v>9</v>
      </c>
    </row>
    <row r="419" spans="1:7" x14ac:dyDescent="0.35">
      <c r="A419" s="41">
        <v>418</v>
      </c>
      <c r="B419" s="17" t="s">
        <v>20</v>
      </c>
      <c r="C419" s="17" t="s">
        <v>37</v>
      </c>
      <c r="D419" s="17" t="s">
        <v>347</v>
      </c>
      <c r="E419" s="16">
        <v>79900070</v>
      </c>
      <c r="F419" s="41">
        <v>202</v>
      </c>
      <c r="G419" s="19" t="s">
        <v>27</v>
      </c>
    </row>
    <row r="420" spans="1:7" x14ac:dyDescent="0.35">
      <c r="A420" s="41">
        <v>419</v>
      </c>
      <c r="B420" s="17" t="s">
        <v>20</v>
      </c>
      <c r="C420" s="17" t="s">
        <v>37</v>
      </c>
      <c r="D420" s="17" t="s">
        <v>347</v>
      </c>
      <c r="E420" s="16">
        <v>79900077</v>
      </c>
      <c r="F420" s="41">
        <v>319</v>
      </c>
      <c r="G420" s="19" t="s">
        <v>9</v>
      </c>
    </row>
    <row r="421" spans="1:7" x14ac:dyDescent="0.35">
      <c r="A421" s="41">
        <v>420</v>
      </c>
      <c r="B421" s="17" t="s">
        <v>20</v>
      </c>
      <c r="C421" s="17" t="s">
        <v>37</v>
      </c>
      <c r="D421" s="17" t="s">
        <v>347</v>
      </c>
      <c r="E421" s="16">
        <v>79900106</v>
      </c>
      <c r="F421" s="41">
        <v>207</v>
      </c>
      <c r="G421" s="19" t="s">
        <v>9</v>
      </c>
    </row>
    <row r="422" spans="1:7" x14ac:dyDescent="0.35">
      <c r="A422" s="41">
        <v>421</v>
      </c>
      <c r="B422" s="17" t="s">
        <v>20</v>
      </c>
      <c r="C422" s="17" t="s">
        <v>37</v>
      </c>
      <c r="D422" s="17" t="s">
        <v>348</v>
      </c>
      <c r="E422" s="16">
        <v>79900006</v>
      </c>
      <c r="F422" s="41">
        <v>201</v>
      </c>
      <c r="G422" s="19" t="s">
        <v>9</v>
      </c>
    </row>
    <row r="423" spans="1:7" x14ac:dyDescent="0.35">
      <c r="A423" s="41">
        <v>422</v>
      </c>
      <c r="B423" s="17" t="s">
        <v>20</v>
      </c>
      <c r="C423" s="17" t="s">
        <v>37</v>
      </c>
      <c r="D423" s="17" t="s">
        <v>348</v>
      </c>
      <c r="E423" s="16">
        <v>79900010</v>
      </c>
      <c r="F423" s="41">
        <v>227</v>
      </c>
      <c r="G423" s="19" t="s">
        <v>9</v>
      </c>
    </row>
    <row r="424" spans="1:7" x14ac:dyDescent="0.35">
      <c r="A424" s="41">
        <v>423</v>
      </c>
      <c r="B424" s="17" t="s">
        <v>20</v>
      </c>
      <c r="C424" s="17" t="s">
        <v>37</v>
      </c>
      <c r="D424" s="17" t="s">
        <v>348</v>
      </c>
      <c r="E424" s="16">
        <v>79900015</v>
      </c>
      <c r="F424" s="41">
        <v>260</v>
      </c>
      <c r="G424" s="19" t="s">
        <v>9</v>
      </c>
    </row>
    <row r="425" spans="1:7" x14ac:dyDescent="0.35">
      <c r="A425" s="41">
        <v>424</v>
      </c>
      <c r="B425" s="17" t="s">
        <v>20</v>
      </c>
      <c r="C425" s="17" t="s">
        <v>37</v>
      </c>
      <c r="D425" s="17" t="s">
        <v>348</v>
      </c>
      <c r="E425" s="16">
        <v>79900016</v>
      </c>
      <c r="F425" s="41">
        <v>203</v>
      </c>
      <c r="G425" s="19" t="s">
        <v>9</v>
      </c>
    </row>
    <row r="426" spans="1:7" x14ac:dyDescent="0.35">
      <c r="A426" s="41">
        <v>425</v>
      </c>
      <c r="B426" s="17" t="s">
        <v>20</v>
      </c>
      <c r="C426" s="17" t="s">
        <v>37</v>
      </c>
      <c r="D426" s="17" t="s">
        <v>348</v>
      </c>
      <c r="E426" s="16">
        <v>79900017</v>
      </c>
      <c r="F426" s="41">
        <v>204</v>
      </c>
      <c r="G426" s="19" t="s">
        <v>9</v>
      </c>
    </row>
    <row r="427" spans="1:7" x14ac:dyDescent="0.35">
      <c r="A427" s="41">
        <v>426</v>
      </c>
      <c r="B427" s="17" t="s">
        <v>20</v>
      </c>
      <c r="C427" s="17" t="s">
        <v>37</v>
      </c>
      <c r="D427" s="17" t="s">
        <v>348</v>
      </c>
      <c r="E427" s="16">
        <v>79900018</v>
      </c>
      <c r="F427" s="41">
        <v>224</v>
      </c>
      <c r="G427" s="19" t="s">
        <v>9</v>
      </c>
    </row>
    <row r="428" spans="1:7" x14ac:dyDescent="0.35">
      <c r="A428" s="41">
        <v>427</v>
      </c>
      <c r="B428" s="17" t="s">
        <v>20</v>
      </c>
      <c r="C428" s="17" t="s">
        <v>37</v>
      </c>
      <c r="D428" s="17" t="s">
        <v>348</v>
      </c>
      <c r="E428" s="16">
        <v>79900023</v>
      </c>
      <c r="F428" s="41">
        <v>210</v>
      </c>
      <c r="G428" s="19" t="s">
        <v>9</v>
      </c>
    </row>
    <row r="429" spans="1:7" x14ac:dyDescent="0.35">
      <c r="A429" s="41">
        <v>428</v>
      </c>
      <c r="B429" s="17" t="s">
        <v>20</v>
      </c>
      <c r="C429" s="17" t="s">
        <v>37</v>
      </c>
      <c r="D429" s="17" t="s">
        <v>348</v>
      </c>
      <c r="E429" s="16">
        <v>79900040</v>
      </c>
      <c r="F429" s="41">
        <v>231</v>
      </c>
      <c r="G429" s="19" t="s">
        <v>9</v>
      </c>
    </row>
    <row r="430" spans="1:7" x14ac:dyDescent="0.35">
      <c r="A430" s="41">
        <v>429</v>
      </c>
      <c r="B430" s="17" t="s">
        <v>20</v>
      </c>
      <c r="C430" s="17" t="s">
        <v>37</v>
      </c>
      <c r="D430" s="17" t="s">
        <v>348</v>
      </c>
      <c r="E430" s="16">
        <v>79900041</v>
      </c>
      <c r="F430" s="41">
        <v>247</v>
      </c>
      <c r="G430" s="19" t="s">
        <v>9</v>
      </c>
    </row>
    <row r="431" spans="1:7" x14ac:dyDescent="0.35">
      <c r="A431" s="41">
        <v>430</v>
      </c>
      <c r="B431" s="17" t="s">
        <v>20</v>
      </c>
      <c r="C431" s="17" t="s">
        <v>37</v>
      </c>
      <c r="D431" s="17" t="s">
        <v>348</v>
      </c>
      <c r="E431" s="16">
        <v>79900044</v>
      </c>
      <c r="F431" s="41">
        <v>202</v>
      </c>
      <c r="G431" s="19" t="s">
        <v>27</v>
      </c>
    </row>
    <row r="432" spans="1:7" x14ac:dyDescent="0.35">
      <c r="A432" s="41">
        <v>431</v>
      </c>
      <c r="B432" s="17" t="s">
        <v>20</v>
      </c>
      <c r="C432" s="17" t="s">
        <v>37</v>
      </c>
      <c r="D432" s="17" t="s">
        <v>348</v>
      </c>
      <c r="E432" s="16">
        <v>79900086</v>
      </c>
      <c r="F432" s="41">
        <v>236</v>
      </c>
      <c r="G432" s="19" t="s">
        <v>9</v>
      </c>
    </row>
    <row r="433" spans="1:7" x14ac:dyDescent="0.35">
      <c r="A433" s="41">
        <v>432</v>
      </c>
      <c r="B433" s="17" t="s">
        <v>20</v>
      </c>
      <c r="C433" s="17" t="s">
        <v>37</v>
      </c>
      <c r="D433" s="17" t="s">
        <v>348</v>
      </c>
      <c r="E433" s="16">
        <v>79900097</v>
      </c>
      <c r="F433" s="41">
        <v>288</v>
      </c>
      <c r="G433" s="19" t="s">
        <v>9</v>
      </c>
    </row>
    <row r="434" spans="1:7" x14ac:dyDescent="0.35">
      <c r="A434" s="41">
        <v>433</v>
      </c>
      <c r="B434" s="17" t="s">
        <v>20</v>
      </c>
      <c r="C434" s="17" t="s">
        <v>37</v>
      </c>
      <c r="D434" s="17" t="s">
        <v>348</v>
      </c>
      <c r="E434" s="16">
        <v>79900099</v>
      </c>
      <c r="F434" s="41">
        <v>201</v>
      </c>
      <c r="G434" s="19" t="s">
        <v>9</v>
      </c>
    </row>
    <row r="435" spans="1:7" x14ac:dyDescent="0.35">
      <c r="A435" s="41">
        <v>434</v>
      </c>
      <c r="B435" s="17" t="s">
        <v>20</v>
      </c>
      <c r="C435" s="17" t="s">
        <v>37</v>
      </c>
      <c r="D435" s="17" t="s">
        <v>348</v>
      </c>
      <c r="E435" s="16">
        <v>79900100</v>
      </c>
      <c r="F435" s="41">
        <v>241</v>
      </c>
      <c r="G435" s="19" t="s">
        <v>9</v>
      </c>
    </row>
    <row r="436" spans="1:7" x14ac:dyDescent="0.35">
      <c r="A436" s="41">
        <v>435</v>
      </c>
      <c r="B436" s="17" t="s">
        <v>20</v>
      </c>
      <c r="C436" s="17" t="s">
        <v>37</v>
      </c>
      <c r="D436" s="17" t="s">
        <v>41</v>
      </c>
      <c r="E436" s="16">
        <v>79900102</v>
      </c>
      <c r="F436" s="41">
        <v>791</v>
      </c>
      <c r="G436" s="19" t="s">
        <v>9</v>
      </c>
    </row>
    <row r="437" spans="1:7" x14ac:dyDescent="0.35">
      <c r="A437" s="41">
        <v>436</v>
      </c>
      <c r="B437" s="17" t="s">
        <v>20</v>
      </c>
      <c r="C437" s="17" t="s">
        <v>37</v>
      </c>
      <c r="D437" s="17" t="s">
        <v>41</v>
      </c>
      <c r="E437" s="16">
        <v>79900103</v>
      </c>
      <c r="F437" s="41">
        <v>205</v>
      </c>
      <c r="G437" s="19" t="s">
        <v>9</v>
      </c>
    </row>
    <row r="438" spans="1:7" x14ac:dyDescent="0.35">
      <c r="A438" s="41">
        <v>437</v>
      </c>
      <c r="B438" s="17" t="s">
        <v>20</v>
      </c>
      <c r="C438" s="17" t="s">
        <v>37</v>
      </c>
      <c r="D438" s="17" t="s">
        <v>41</v>
      </c>
      <c r="E438" s="16">
        <v>79900105</v>
      </c>
      <c r="F438" s="41">
        <v>236</v>
      </c>
      <c r="G438" s="19" t="s">
        <v>27</v>
      </c>
    </row>
    <row r="439" spans="1:7" x14ac:dyDescent="0.35">
      <c r="A439" s="41">
        <v>438</v>
      </c>
      <c r="B439" s="17" t="s">
        <v>20</v>
      </c>
      <c r="C439" s="17" t="s">
        <v>42</v>
      </c>
      <c r="D439" s="17" t="s">
        <v>43</v>
      </c>
      <c r="E439" s="16">
        <v>74804001</v>
      </c>
      <c r="F439" s="41">
        <v>220</v>
      </c>
      <c r="G439" s="19" t="s">
        <v>9</v>
      </c>
    </row>
    <row r="440" spans="1:7" x14ac:dyDescent="0.35">
      <c r="A440" s="41">
        <v>439</v>
      </c>
      <c r="B440" s="17" t="s">
        <v>20</v>
      </c>
      <c r="C440" s="17" t="s">
        <v>42</v>
      </c>
      <c r="D440" s="17" t="s">
        <v>43</v>
      </c>
      <c r="E440" s="16">
        <v>74804002</v>
      </c>
      <c r="F440" s="41">
        <v>221</v>
      </c>
      <c r="G440" s="19" t="s">
        <v>9</v>
      </c>
    </row>
    <row r="441" spans="1:7" x14ac:dyDescent="0.35">
      <c r="A441" s="41">
        <v>440</v>
      </c>
      <c r="B441" s="17" t="s">
        <v>20</v>
      </c>
      <c r="C441" s="17" t="s">
        <v>42</v>
      </c>
      <c r="D441" s="17" t="s">
        <v>43</v>
      </c>
      <c r="E441" s="16">
        <v>74804003</v>
      </c>
      <c r="F441" s="41">
        <v>232</v>
      </c>
      <c r="G441" s="19" t="s">
        <v>27</v>
      </c>
    </row>
    <row r="442" spans="1:7" x14ac:dyDescent="0.35">
      <c r="A442" s="41">
        <v>441</v>
      </c>
      <c r="B442" s="17" t="s">
        <v>20</v>
      </c>
      <c r="C442" s="17" t="s">
        <v>42</v>
      </c>
      <c r="D442" s="17" t="s">
        <v>43</v>
      </c>
      <c r="E442" s="16">
        <v>74804004</v>
      </c>
      <c r="F442" s="41">
        <v>211</v>
      </c>
      <c r="G442" s="19" t="s">
        <v>9</v>
      </c>
    </row>
    <row r="443" spans="1:7" x14ac:dyDescent="0.35">
      <c r="A443" s="41">
        <v>442</v>
      </c>
      <c r="B443" s="17" t="s">
        <v>20</v>
      </c>
      <c r="C443" s="17" t="s">
        <v>42</v>
      </c>
      <c r="D443" s="17" t="s">
        <v>43</v>
      </c>
      <c r="E443" s="16">
        <v>74804005</v>
      </c>
      <c r="F443" s="41">
        <v>201</v>
      </c>
      <c r="G443" s="19" t="s">
        <v>9</v>
      </c>
    </row>
    <row r="444" spans="1:7" x14ac:dyDescent="0.35">
      <c r="A444" s="41">
        <v>443</v>
      </c>
      <c r="B444" s="17" t="s">
        <v>20</v>
      </c>
      <c r="C444" s="17" t="s">
        <v>42</v>
      </c>
      <c r="D444" s="17" t="s">
        <v>43</v>
      </c>
      <c r="E444" s="16">
        <v>74804006</v>
      </c>
      <c r="F444" s="41">
        <v>215</v>
      </c>
      <c r="G444" s="19" t="s">
        <v>9</v>
      </c>
    </row>
    <row r="445" spans="1:7" x14ac:dyDescent="0.35">
      <c r="A445" s="41">
        <v>444</v>
      </c>
      <c r="B445" s="17" t="s">
        <v>20</v>
      </c>
      <c r="C445" s="17" t="s">
        <v>42</v>
      </c>
      <c r="D445" s="17" t="s">
        <v>43</v>
      </c>
      <c r="E445" s="16">
        <v>74804008</v>
      </c>
      <c r="F445" s="41">
        <v>236</v>
      </c>
      <c r="G445" s="19" t="s">
        <v>9</v>
      </c>
    </row>
    <row r="446" spans="1:7" x14ac:dyDescent="0.35">
      <c r="A446" s="41">
        <v>445</v>
      </c>
      <c r="B446" s="17" t="s">
        <v>20</v>
      </c>
      <c r="C446" s="17" t="s">
        <v>42</v>
      </c>
      <c r="D446" s="17" t="s">
        <v>43</v>
      </c>
      <c r="E446" s="16">
        <v>74804009</v>
      </c>
      <c r="F446" s="41">
        <v>202</v>
      </c>
      <c r="G446" s="19" t="s">
        <v>9</v>
      </c>
    </row>
    <row r="447" spans="1:7" x14ac:dyDescent="0.35">
      <c r="A447" s="41">
        <v>446</v>
      </c>
      <c r="B447" s="17" t="s">
        <v>20</v>
      </c>
      <c r="C447" s="17" t="s">
        <v>42</v>
      </c>
      <c r="D447" s="17" t="s">
        <v>43</v>
      </c>
      <c r="E447" s="16">
        <v>74804010</v>
      </c>
      <c r="F447" s="41">
        <v>204</v>
      </c>
      <c r="G447" s="19" t="s">
        <v>9</v>
      </c>
    </row>
    <row r="448" spans="1:7" x14ac:dyDescent="0.35">
      <c r="A448" s="41">
        <v>447</v>
      </c>
      <c r="B448" s="17" t="s">
        <v>20</v>
      </c>
      <c r="C448" s="17" t="s">
        <v>42</v>
      </c>
      <c r="D448" s="17" t="s">
        <v>43</v>
      </c>
      <c r="E448" s="16">
        <v>74804011</v>
      </c>
      <c r="F448" s="41">
        <v>202</v>
      </c>
      <c r="G448" s="19" t="s">
        <v>9</v>
      </c>
    </row>
    <row r="449" spans="1:7" x14ac:dyDescent="0.35">
      <c r="A449" s="41">
        <v>448</v>
      </c>
      <c r="B449" s="17" t="s">
        <v>20</v>
      </c>
      <c r="C449" s="17" t="s">
        <v>42</v>
      </c>
      <c r="D449" s="17" t="s">
        <v>43</v>
      </c>
      <c r="E449" s="16">
        <v>74804012</v>
      </c>
      <c r="F449" s="41">
        <v>203</v>
      </c>
      <c r="G449" s="19" t="s">
        <v>9</v>
      </c>
    </row>
    <row r="450" spans="1:7" x14ac:dyDescent="0.35">
      <c r="A450" s="41">
        <v>449</v>
      </c>
      <c r="B450" s="17" t="s">
        <v>20</v>
      </c>
      <c r="C450" s="17" t="s">
        <v>42</v>
      </c>
      <c r="D450" s="17" t="s">
        <v>43</v>
      </c>
      <c r="E450" s="16">
        <v>74804014</v>
      </c>
      <c r="F450" s="41">
        <v>202</v>
      </c>
      <c r="G450" s="19" t="s">
        <v>27</v>
      </c>
    </row>
    <row r="451" spans="1:7" x14ac:dyDescent="0.35">
      <c r="A451" s="41">
        <v>450</v>
      </c>
      <c r="B451" s="17" t="s">
        <v>20</v>
      </c>
      <c r="C451" s="17" t="s">
        <v>42</v>
      </c>
      <c r="D451" s="17" t="s">
        <v>43</v>
      </c>
      <c r="E451" s="16">
        <v>74804015</v>
      </c>
      <c r="F451" s="41">
        <v>232</v>
      </c>
      <c r="G451" s="19" t="s">
        <v>9</v>
      </c>
    </row>
    <row r="452" spans="1:7" x14ac:dyDescent="0.35">
      <c r="A452" s="41">
        <v>451</v>
      </c>
      <c r="B452" s="17" t="s">
        <v>20</v>
      </c>
      <c r="C452" s="17" t="s">
        <v>42</v>
      </c>
      <c r="D452" s="17" t="s">
        <v>43</v>
      </c>
      <c r="E452" s="16">
        <v>74804016</v>
      </c>
      <c r="F452" s="41">
        <v>204</v>
      </c>
      <c r="G452" s="19" t="s">
        <v>9</v>
      </c>
    </row>
    <row r="453" spans="1:7" x14ac:dyDescent="0.35">
      <c r="A453" s="41">
        <v>452</v>
      </c>
      <c r="B453" s="17" t="s">
        <v>20</v>
      </c>
      <c r="C453" s="17" t="s">
        <v>42</v>
      </c>
      <c r="D453" s="17" t="s">
        <v>43</v>
      </c>
      <c r="E453" s="16">
        <v>74804017</v>
      </c>
      <c r="F453" s="41">
        <v>272</v>
      </c>
      <c r="G453" s="19" t="s">
        <v>27</v>
      </c>
    </row>
    <row r="454" spans="1:7" x14ac:dyDescent="0.35">
      <c r="A454" s="41">
        <v>453</v>
      </c>
      <c r="B454" s="17" t="s">
        <v>20</v>
      </c>
      <c r="C454" s="17" t="s">
        <v>42</v>
      </c>
      <c r="D454" s="17" t="s">
        <v>43</v>
      </c>
      <c r="E454" s="16">
        <v>74804018</v>
      </c>
      <c r="F454" s="41">
        <v>211</v>
      </c>
      <c r="G454" s="19" t="s">
        <v>9</v>
      </c>
    </row>
    <row r="455" spans="1:7" x14ac:dyDescent="0.35">
      <c r="A455" s="41">
        <v>454</v>
      </c>
      <c r="B455" s="17" t="s">
        <v>20</v>
      </c>
      <c r="C455" s="17" t="s">
        <v>42</v>
      </c>
      <c r="D455" s="17" t="s">
        <v>43</v>
      </c>
      <c r="E455" s="16">
        <v>74804019</v>
      </c>
      <c r="F455" s="41">
        <v>254</v>
      </c>
      <c r="G455" s="19" t="s">
        <v>9</v>
      </c>
    </row>
    <row r="456" spans="1:7" x14ac:dyDescent="0.35">
      <c r="A456" s="41">
        <v>455</v>
      </c>
      <c r="B456" s="17" t="s">
        <v>20</v>
      </c>
      <c r="C456" s="17" t="s">
        <v>42</v>
      </c>
      <c r="D456" s="17" t="s">
        <v>43</v>
      </c>
      <c r="E456" s="16">
        <v>74804020</v>
      </c>
      <c r="F456" s="41">
        <v>214</v>
      </c>
      <c r="G456" s="19" t="s">
        <v>9</v>
      </c>
    </row>
    <row r="457" spans="1:7" x14ac:dyDescent="0.35">
      <c r="A457" s="41">
        <v>456</v>
      </c>
      <c r="B457" s="17" t="s">
        <v>20</v>
      </c>
      <c r="C457" s="17" t="s">
        <v>42</v>
      </c>
      <c r="D457" s="17" t="s">
        <v>43</v>
      </c>
      <c r="E457" s="16">
        <v>74804021</v>
      </c>
      <c r="F457" s="41">
        <v>212</v>
      </c>
      <c r="G457" s="19" t="s">
        <v>27</v>
      </c>
    </row>
    <row r="458" spans="1:7" x14ac:dyDescent="0.35">
      <c r="A458" s="41">
        <v>457</v>
      </c>
      <c r="B458" s="17" t="s">
        <v>20</v>
      </c>
      <c r="C458" s="17" t="s">
        <v>42</v>
      </c>
      <c r="D458" s="17" t="s">
        <v>43</v>
      </c>
      <c r="E458" s="16">
        <v>74804022</v>
      </c>
      <c r="F458" s="41">
        <v>214</v>
      </c>
      <c r="G458" s="19" t="s">
        <v>9</v>
      </c>
    </row>
    <row r="459" spans="1:7" x14ac:dyDescent="0.35">
      <c r="A459" s="41">
        <v>458</v>
      </c>
      <c r="B459" s="17" t="s">
        <v>20</v>
      </c>
      <c r="C459" s="17" t="s">
        <v>42</v>
      </c>
      <c r="D459" s="17" t="s">
        <v>43</v>
      </c>
      <c r="E459" s="16">
        <v>74804023</v>
      </c>
      <c r="F459" s="41">
        <v>212</v>
      </c>
      <c r="G459" s="19" t="s">
        <v>9</v>
      </c>
    </row>
    <row r="460" spans="1:7" x14ac:dyDescent="0.35">
      <c r="A460" s="41">
        <v>459</v>
      </c>
      <c r="B460" s="17" t="s">
        <v>20</v>
      </c>
      <c r="C460" s="17" t="s">
        <v>42</v>
      </c>
      <c r="D460" s="17" t="s">
        <v>43</v>
      </c>
      <c r="E460" s="16">
        <v>74804024</v>
      </c>
      <c r="F460" s="41">
        <v>220</v>
      </c>
      <c r="G460" s="19" t="s">
        <v>9</v>
      </c>
    </row>
    <row r="461" spans="1:7" x14ac:dyDescent="0.35">
      <c r="A461" s="41">
        <v>460</v>
      </c>
      <c r="B461" s="17" t="s">
        <v>20</v>
      </c>
      <c r="C461" s="17" t="s">
        <v>42</v>
      </c>
      <c r="D461" s="17" t="s">
        <v>43</v>
      </c>
      <c r="E461" s="16">
        <v>74804025</v>
      </c>
      <c r="F461" s="41">
        <v>249</v>
      </c>
      <c r="G461" s="19" t="s">
        <v>9</v>
      </c>
    </row>
    <row r="462" spans="1:7" x14ac:dyDescent="0.35">
      <c r="A462" s="41">
        <v>461</v>
      </c>
      <c r="B462" s="17" t="s">
        <v>20</v>
      </c>
      <c r="C462" s="17" t="s">
        <v>42</v>
      </c>
      <c r="D462" s="17" t="s">
        <v>43</v>
      </c>
      <c r="E462" s="16">
        <v>74804026</v>
      </c>
      <c r="F462" s="41">
        <v>214</v>
      </c>
      <c r="G462" s="19" t="s">
        <v>9</v>
      </c>
    </row>
    <row r="463" spans="1:7" x14ac:dyDescent="0.35">
      <c r="A463" s="41">
        <v>462</v>
      </c>
      <c r="B463" s="17" t="s">
        <v>20</v>
      </c>
      <c r="C463" s="17" t="s">
        <v>42</v>
      </c>
      <c r="D463" s="17" t="s">
        <v>43</v>
      </c>
      <c r="E463" s="16">
        <v>74804027</v>
      </c>
      <c r="F463" s="41">
        <v>234</v>
      </c>
      <c r="G463" s="19" t="s">
        <v>9</v>
      </c>
    </row>
    <row r="464" spans="1:7" x14ac:dyDescent="0.35">
      <c r="A464" s="41">
        <v>463</v>
      </c>
      <c r="B464" s="17" t="s">
        <v>20</v>
      </c>
      <c r="C464" s="17" t="s">
        <v>42</v>
      </c>
      <c r="D464" s="17" t="s">
        <v>43</v>
      </c>
      <c r="E464" s="16">
        <v>74804028</v>
      </c>
      <c r="F464" s="41">
        <v>205</v>
      </c>
      <c r="G464" s="19" t="s">
        <v>27</v>
      </c>
    </row>
    <row r="465" spans="1:7" x14ac:dyDescent="0.35">
      <c r="A465" s="41">
        <v>464</v>
      </c>
      <c r="B465" s="17" t="s">
        <v>20</v>
      </c>
      <c r="C465" s="17" t="s">
        <v>42</v>
      </c>
      <c r="D465" s="17" t="s">
        <v>44</v>
      </c>
      <c r="E465" s="16">
        <v>74801002</v>
      </c>
      <c r="F465" s="41">
        <v>206</v>
      </c>
      <c r="G465" s="19" t="s">
        <v>9</v>
      </c>
    </row>
    <row r="466" spans="1:7" x14ac:dyDescent="0.35">
      <c r="A466" s="41">
        <v>465</v>
      </c>
      <c r="B466" s="17" t="s">
        <v>20</v>
      </c>
      <c r="C466" s="17" t="s">
        <v>42</v>
      </c>
      <c r="D466" s="17" t="s">
        <v>44</v>
      </c>
      <c r="E466" s="16">
        <v>74801004</v>
      </c>
      <c r="F466" s="41">
        <v>205</v>
      </c>
      <c r="G466" s="19" t="s">
        <v>9</v>
      </c>
    </row>
    <row r="467" spans="1:7" x14ac:dyDescent="0.35">
      <c r="A467" s="41">
        <v>466</v>
      </c>
      <c r="B467" s="17" t="s">
        <v>20</v>
      </c>
      <c r="C467" s="17" t="s">
        <v>42</v>
      </c>
      <c r="D467" s="17" t="s">
        <v>44</v>
      </c>
      <c r="E467" s="16">
        <v>74801005</v>
      </c>
      <c r="F467" s="41">
        <v>283</v>
      </c>
      <c r="G467" s="19" t="s">
        <v>9</v>
      </c>
    </row>
    <row r="468" spans="1:7" x14ac:dyDescent="0.35">
      <c r="A468" s="41">
        <v>467</v>
      </c>
      <c r="B468" s="17" t="s">
        <v>20</v>
      </c>
      <c r="C468" s="17" t="s">
        <v>42</v>
      </c>
      <c r="D468" s="17" t="s">
        <v>44</v>
      </c>
      <c r="E468" s="16">
        <v>74801009</v>
      </c>
      <c r="F468" s="41">
        <v>236</v>
      </c>
      <c r="G468" s="19" t="s">
        <v>9</v>
      </c>
    </row>
    <row r="469" spans="1:7" x14ac:dyDescent="0.35">
      <c r="A469" s="41">
        <v>468</v>
      </c>
      <c r="B469" s="17" t="s">
        <v>20</v>
      </c>
      <c r="C469" s="17" t="s">
        <v>42</v>
      </c>
      <c r="D469" s="17" t="s">
        <v>44</v>
      </c>
      <c r="E469" s="16">
        <v>74801010</v>
      </c>
      <c r="F469" s="41">
        <v>206</v>
      </c>
      <c r="G469" s="19" t="s">
        <v>9</v>
      </c>
    </row>
    <row r="470" spans="1:7" x14ac:dyDescent="0.35">
      <c r="A470" s="41">
        <v>469</v>
      </c>
      <c r="B470" s="17" t="s">
        <v>20</v>
      </c>
      <c r="C470" s="17" t="s">
        <v>42</v>
      </c>
      <c r="D470" s="17" t="s">
        <v>44</v>
      </c>
      <c r="E470" s="16">
        <v>74801011</v>
      </c>
      <c r="F470" s="41">
        <v>208</v>
      </c>
      <c r="G470" s="19" t="s">
        <v>9</v>
      </c>
    </row>
    <row r="471" spans="1:7" x14ac:dyDescent="0.35">
      <c r="A471" s="41">
        <v>470</v>
      </c>
      <c r="B471" s="17" t="s">
        <v>20</v>
      </c>
      <c r="C471" s="17" t="s">
        <v>42</v>
      </c>
      <c r="D471" s="17" t="s">
        <v>44</v>
      </c>
      <c r="E471" s="16">
        <v>74801012</v>
      </c>
      <c r="F471" s="41">
        <v>206</v>
      </c>
      <c r="G471" s="19" t="s">
        <v>9</v>
      </c>
    </row>
    <row r="472" spans="1:7" x14ac:dyDescent="0.35">
      <c r="A472" s="41">
        <v>471</v>
      </c>
      <c r="B472" s="17" t="s">
        <v>20</v>
      </c>
      <c r="C472" s="17" t="s">
        <v>42</v>
      </c>
      <c r="D472" s="17" t="s">
        <v>44</v>
      </c>
      <c r="E472" s="16">
        <v>74801013</v>
      </c>
      <c r="F472" s="41">
        <v>207</v>
      </c>
      <c r="G472" s="19" t="s">
        <v>9</v>
      </c>
    </row>
    <row r="473" spans="1:7" x14ac:dyDescent="0.35">
      <c r="A473" s="41">
        <v>472</v>
      </c>
      <c r="B473" s="17" t="s">
        <v>20</v>
      </c>
      <c r="C473" s="17" t="s">
        <v>42</v>
      </c>
      <c r="D473" s="17" t="s">
        <v>44</v>
      </c>
      <c r="E473" s="16">
        <v>74801014</v>
      </c>
      <c r="F473" s="41">
        <v>211</v>
      </c>
      <c r="G473" s="19" t="s">
        <v>9</v>
      </c>
    </row>
    <row r="474" spans="1:7" x14ac:dyDescent="0.35">
      <c r="A474" s="41">
        <v>473</v>
      </c>
      <c r="B474" s="17" t="s">
        <v>20</v>
      </c>
      <c r="C474" s="17" t="s">
        <v>42</v>
      </c>
      <c r="D474" s="17" t="s">
        <v>44</v>
      </c>
      <c r="E474" s="16">
        <v>74801015</v>
      </c>
      <c r="F474" s="41">
        <v>214</v>
      </c>
      <c r="G474" s="19" t="s">
        <v>9</v>
      </c>
    </row>
    <row r="475" spans="1:7" x14ac:dyDescent="0.35">
      <c r="A475" s="41">
        <v>474</v>
      </c>
      <c r="B475" s="17" t="s">
        <v>20</v>
      </c>
      <c r="C475" s="17" t="s">
        <v>42</v>
      </c>
      <c r="D475" s="17" t="s">
        <v>44</v>
      </c>
      <c r="E475" s="16">
        <v>74801016</v>
      </c>
      <c r="F475" s="41">
        <v>207</v>
      </c>
      <c r="G475" s="19" t="s">
        <v>9</v>
      </c>
    </row>
    <row r="476" spans="1:7" x14ac:dyDescent="0.35">
      <c r="A476" s="41">
        <v>475</v>
      </c>
      <c r="B476" s="17" t="s">
        <v>20</v>
      </c>
      <c r="C476" s="17" t="s">
        <v>42</v>
      </c>
      <c r="D476" s="17" t="s">
        <v>44</v>
      </c>
      <c r="E476" s="16">
        <v>74801020</v>
      </c>
      <c r="F476" s="41">
        <v>201</v>
      </c>
      <c r="G476" s="19" t="s">
        <v>9</v>
      </c>
    </row>
    <row r="477" spans="1:7" x14ac:dyDescent="0.35">
      <c r="A477" s="41">
        <v>476</v>
      </c>
      <c r="B477" s="17" t="s">
        <v>20</v>
      </c>
      <c r="C477" s="17" t="s">
        <v>42</v>
      </c>
      <c r="D477" s="17" t="s">
        <v>44</v>
      </c>
      <c r="E477" s="16">
        <v>74801024</v>
      </c>
      <c r="F477" s="41">
        <v>212</v>
      </c>
      <c r="G477" s="19" t="s">
        <v>9</v>
      </c>
    </row>
    <row r="478" spans="1:7" x14ac:dyDescent="0.35">
      <c r="A478" s="41">
        <v>477</v>
      </c>
      <c r="B478" s="17" t="s">
        <v>20</v>
      </c>
      <c r="C478" s="17" t="s">
        <v>42</v>
      </c>
      <c r="D478" s="17" t="s">
        <v>44</v>
      </c>
      <c r="E478" s="16">
        <v>74801027</v>
      </c>
      <c r="F478" s="41">
        <v>208</v>
      </c>
      <c r="G478" s="19" t="s">
        <v>9</v>
      </c>
    </row>
    <row r="479" spans="1:7" x14ac:dyDescent="0.35">
      <c r="A479" s="41">
        <v>478</v>
      </c>
      <c r="B479" s="17" t="s">
        <v>20</v>
      </c>
      <c r="C479" s="17" t="s">
        <v>42</v>
      </c>
      <c r="D479" s="17" t="s">
        <v>44</v>
      </c>
      <c r="E479" s="16">
        <v>74801030</v>
      </c>
      <c r="F479" s="41">
        <v>200</v>
      </c>
      <c r="G479" s="19" t="s">
        <v>9</v>
      </c>
    </row>
    <row r="480" spans="1:7" x14ac:dyDescent="0.35">
      <c r="A480" s="41">
        <v>479</v>
      </c>
      <c r="B480" s="17" t="s">
        <v>20</v>
      </c>
      <c r="C480" s="17" t="s">
        <v>42</v>
      </c>
      <c r="D480" s="17" t="s">
        <v>44</v>
      </c>
      <c r="E480" s="16">
        <v>74801031</v>
      </c>
      <c r="F480" s="41">
        <v>255</v>
      </c>
      <c r="G480" s="19" t="s">
        <v>9</v>
      </c>
    </row>
    <row r="481" spans="1:7" x14ac:dyDescent="0.35">
      <c r="A481" s="41">
        <v>480</v>
      </c>
      <c r="B481" s="17" t="s">
        <v>20</v>
      </c>
      <c r="C481" s="17" t="s">
        <v>42</v>
      </c>
      <c r="D481" s="17" t="s">
        <v>44</v>
      </c>
      <c r="E481" s="16">
        <v>74801034</v>
      </c>
      <c r="F481" s="41">
        <v>223</v>
      </c>
      <c r="G481" s="19" t="s">
        <v>9</v>
      </c>
    </row>
    <row r="482" spans="1:7" x14ac:dyDescent="0.35">
      <c r="A482" s="41">
        <v>481</v>
      </c>
      <c r="B482" s="17" t="s">
        <v>20</v>
      </c>
      <c r="C482" s="17" t="s">
        <v>42</v>
      </c>
      <c r="D482" s="17" t="s">
        <v>44</v>
      </c>
      <c r="E482" s="16">
        <v>74801035</v>
      </c>
      <c r="F482" s="41">
        <v>240</v>
      </c>
      <c r="G482" s="19" t="s">
        <v>9</v>
      </c>
    </row>
    <row r="483" spans="1:7" x14ac:dyDescent="0.35">
      <c r="A483" s="41">
        <v>482</v>
      </c>
      <c r="B483" s="17" t="s">
        <v>20</v>
      </c>
      <c r="C483" s="17" t="s">
        <v>42</v>
      </c>
      <c r="D483" s="17" t="s">
        <v>44</v>
      </c>
      <c r="E483" s="16">
        <v>74801036</v>
      </c>
      <c r="F483" s="41">
        <v>200</v>
      </c>
      <c r="G483" s="19" t="s">
        <v>9</v>
      </c>
    </row>
    <row r="484" spans="1:7" x14ac:dyDescent="0.35">
      <c r="A484" s="41">
        <v>483</v>
      </c>
      <c r="B484" s="17" t="s">
        <v>20</v>
      </c>
      <c r="C484" s="17" t="s">
        <v>42</v>
      </c>
      <c r="D484" s="17" t="s">
        <v>44</v>
      </c>
      <c r="E484" s="16">
        <v>74801038</v>
      </c>
      <c r="F484" s="41">
        <v>205</v>
      </c>
      <c r="G484" s="19" t="s">
        <v>27</v>
      </c>
    </row>
    <row r="485" spans="1:7" x14ac:dyDescent="0.35">
      <c r="A485" s="41">
        <v>484</v>
      </c>
      <c r="B485" s="17" t="s">
        <v>20</v>
      </c>
      <c r="C485" s="17" t="s">
        <v>42</v>
      </c>
      <c r="D485" s="17" t="s">
        <v>349</v>
      </c>
      <c r="E485" s="16">
        <v>74205002</v>
      </c>
      <c r="F485" s="41">
        <v>204</v>
      </c>
      <c r="G485" s="19" t="s">
        <v>9</v>
      </c>
    </row>
    <row r="486" spans="1:7" x14ac:dyDescent="0.35">
      <c r="A486" s="41">
        <v>485</v>
      </c>
      <c r="B486" s="17" t="s">
        <v>20</v>
      </c>
      <c r="C486" s="17" t="s">
        <v>42</v>
      </c>
      <c r="D486" s="17" t="s">
        <v>349</v>
      </c>
      <c r="E486" s="16">
        <v>74205005</v>
      </c>
      <c r="F486" s="41">
        <v>211</v>
      </c>
      <c r="G486" s="19" t="s">
        <v>9</v>
      </c>
    </row>
    <row r="487" spans="1:7" x14ac:dyDescent="0.35">
      <c r="A487" s="41">
        <v>486</v>
      </c>
      <c r="B487" s="17" t="s">
        <v>20</v>
      </c>
      <c r="C487" s="17" t="s">
        <v>42</v>
      </c>
      <c r="D487" s="17" t="s">
        <v>349</v>
      </c>
      <c r="E487" s="16">
        <v>74205007</v>
      </c>
      <c r="F487" s="41">
        <v>203</v>
      </c>
      <c r="G487" s="19" t="s">
        <v>27</v>
      </c>
    </row>
    <row r="488" spans="1:7" x14ac:dyDescent="0.35">
      <c r="A488" s="41">
        <v>487</v>
      </c>
      <c r="B488" s="17" t="s">
        <v>20</v>
      </c>
      <c r="C488" s="17" t="s">
        <v>42</v>
      </c>
      <c r="D488" s="17" t="s">
        <v>349</v>
      </c>
      <c r="E488" s="16">
        <v>74205011</v>
      </c>
      <c r="F488" s="41">
        <v>212</v>
      </c>
      <c r="G488" s="19" t="s">
        <v>9</v>
      </c>
    </row>
    <row r="489" spans="1:7" x14ac:dyDescent="0.35">
      <c r="A489" s="41">
        <v>488</v>
      </c>
      <c r="B489" s="17" t="s">
        <v>20</v>
      </c>
      <c r="C489" s="17" t="s">
        <v>42</v>
      </c>
      <c r="D489" s="17" t="s">
        <v>349</v>
      </c>
      <c r="E489" s="16">
        <v>74205012</v>
      </c>
      <c r="F489" s="41">
        <v>253</v>
      </c>
      <c r="G489" s="19" t="s">
        <v>9</v>
      </c>
    </row>
    <row r="490" spans="1:7" x14ac:dyDescent="0.35">
      <c r="A490" s="41">
        <v>489</v>
      </c>
      <c r="B490" s="17" t="s">
        <v>20</v>
      </c>
      <c r="C490" s="17" t="s">
        <v>42</v>
      </c>
      <c r="D490" s="17" t="s">
        <v>349</v>
      </c>
      <c r="E490" s="16">
        <v>74205013</v>
      </c>
      <c r="F490" s="41">
        <v>203</v>
      </c>
      <c r="G490" s="19" t="s">
        <v>9</v>
      </c>
    </row>
    <row r="491" spans="1:7" x14ac:dyDescent="0.35">
      <c r="A491" s="41">
        <v>490</v>
      </c>
      <c r="B491" s="17" t="s">
        <v>20</v>
      </c>
      <c r="C491" s="17" t="s">
        <v>42</v>
      </c>
      <c r="D491" s="17" t="s">
        <v>349</v>
      </c>
      <c r="E491" s="16">
        <v>74205015</v>
      </c>
      <c r="F491" s="41">
        <v>204</v>
      </c>
      <c r="G491" s="19" t="s">
        <v>9</v>
      </c>
    </row>
    <row r="492" spans="1:7" x14ac:dyDescent="0.35">
      <c r="A492" s="41">
        <v>491</v>
      </c>
      <c r="B492" s="17" t="s">
        <v>20</v>
      </c>
      <c r="C492" s="17" t="s">
        <v>42</v>
      </c>
      <c r="D492" s="17" t="s">
        <v>349</v>
      </c>
      <c r="E492" s="16">
        <v>74205016</v>
      </c>
      <c r="F492" s="41">
        <v>216</v>
      </c>
      <c r="G492" s="19" t="s">
        <v>9</v>
      </c>
    </row>
    <row r="493" spans="1:7" x14ac:dyDescent="0.35">
      <c r="A493" s="41">
        <v>492</v>
      </c>
      <c r="B493" s="17" t="s">
        <v>20</v>
      </c>
      <c r="C493" s="17" t="s">
        <v>42</v>
      </c>
      <c r="D493" s="17" t="s">
        <v>349</v>
      </c>
      <c r="E493" s="16">
        <v>74205018</v>
      </c>
      <c r="F493" s="41">
        <v>214</v>
      </c>
      <c r="G493" s="19" t="s">
        <v>9</v>
      </c>
    </row>
    <row r="494" spans="1:7" x14ac:dyDescent="0.35">
      <c r="A494" s="41">
        <v>493</v>
      </c>
      <c r="B494" s="17" t="s">
        <v>20</v>
      </c>
      <c r="C494" s="17" t="s">
        <v>42</v>
      </c>
      <c r="D494" s="17" t="s">
        <v>349</v>
      </c>
      <c r="E494" s="16">
        <v>74205019</v>
      </c>
      <c r="F494" s="41">
        <v>208</v>
      </c>
      <c r="G494" s="19" t="s">
        <v>9</v>
      </c>
    </row>
    <row r="495" spans="1:7" x14ac:dyDescent="0.35">
      <c r="A495" s="41">
        <v>494</v>
      </c>
      <c r="B495" s="17" t="s">
        <v>20</v>
      </c>
      <c r="C495" s="17" t="s">
        <v>42</v>
      </c>
      <c r="D495" s="17" t="s">
        <v>349</v>
      </c>
      <c r="E495" s="16">
        <v>74205027</v>
      </c>
      <c r="F495" s="41">
        <v>202</v>
      </c>
      <c r="G495" s="19" t="s">
        <v>9</v>
      </c>
    </row>
    <row r="496" spans="1:7" x14ac:dyDescent="0.35">
      <c r="A496" s="41">
        <v>495</v>
      </c>
      <c r="B496" s="17" t="s">
        <v>20</v>
      </c>
      <c r="C496" s="17" t="s">
        <v>42</v>
      </c>
      <c r="D496" s="17" t="s">
        <v>349</v>
      </c>
      <c r="E496" s="16">
        <v>74205028</v>
      </c>
      <c r="F496" s="41">
        <v>211</v>
      </c>
      <c r="G496" s="19" t="s">
        <v>9</v>
      </c>
    </row>
    <row r="497" spans="1:7" x14ac:dyDescent="0.35">
      <c r="A497" s="41">
        <v>496</v>
      </c>
      <c r="B497" s="17" t="s">
        <v>20</v>
      </c>
      <c r="C497" s="17" t="s">
        <v>42</v>
      </c>
      <c r="D497" s="17" t="s">
        <v>349</v>
      </c>
      <c r="E497" s="16">
        <v>74205032</v>
      </c>
      <c r="F497" s="41">
        <v>204</v>
      </c>
      <c r="G497" s="19" t="s">
        <v>9</v>
      </c>
    </row>
    <row r="498" spans="1:7" x14ac:dyDescent="0.35">
      <c r="A498" s="41">
        <v>497</v>
      </c>
      <c r="B498" s="17" t="s">
        <v>20</v>
      </c>
      <c r="C498" s="17" t="s">
        <v>42</v>
      </c>
      <c r="D498" s="17" t="s">
        <v>349</v>
      </c>
      <c r="E498" s="16">
        <v>74205033</v>
      </c>
      <c r="F498" s="41">
        <v>208</v>
      </c>
      <c r="G498" s="19" t="s">
        <v>9</v>
      </c>
    </row>
    <row r="499" spans="1:7" x14ac:dyDescent="0.35">
      <c r="A499" s="41">
        <v>498</v>
      </c>
      <c r="B499" s="17" t="s">
        <v>6</v>
      </c>
      <c r="C499" s="17" t="s">
        <v>378</v>
      </c>
      <c r="D499" s="17" t="s">
        <v>379</v>
      </c>
      <c r="E499" s="16">
        <v>52502011</v>
      </c>
      <c r="F499" s="19">
        <v>217</v>
      </c>
      <c r="G499" s="20" t="s">
        <v>9</v>
      </c>
    </row>
    <row r="500" spans="1:7" x14ac:dyDescent="0.35">
      <c r="A500" s="41">
        <v>499</v>
      </c>
      <c r="B500" s="17" t="s">
        <v>6</v>
      </c>
      <c r="C500" s="17" t="s">
        <v>378</v>
      </c>
      <c r="D500" s="17" t="s">
        <v>379</v>
      </c>
      <c r="E500" s="16">
        <v>52502022</v>
      </c>
      <c r="F500" s="19">
        <v>230</v>
      </c>
      <c r="G500" s="20" t="s">
        <v>9</v>
      </c>
    </row>
    <row r="501" spans="1:7" x14ac:dyDescent="0.35">
      <c r="A501" s="41">
        <v>500</v>
      </c>
      <c r="B501" s="17" t="s">
        <v>6</v>
      </c>
      <c r="C501" s="17" t="s">
        <v>378</v>
      </c>
      <c r="D501" s="17" t="s">
        <v>379</v>
      </c>
      <c r="E501" s="16">
        <v>52502032</v>
      </c>
      <c r="F501" s="19">
        <v>208</v>
      </c>
      <c r="G501" s="20" t="s">
        <v>9</v>
      </c>
    </row>
    <row r="502" spans="1:7" x14ac:dyDescent="0.35">
      <c r="A502" s="41">
        <v>501</v>
      </c>
      <c r="B502" s="17" t="s">
        <v>6</v>
      </c>
      <c r="C502" s="17" t="s">
        <v>7</v>
      </c>
      <c r="D502" s="17" t="s">
        <v>8</v>
      </c>
      <c r="E502" s="16">
        <v>59500024</v>
      </c>
      <c r="F502" s="19">
        <v>215</v>
      </c>
      <c r="G502" s="20" t="s">
        <v>9</v>
      </c>
    </row>
    <row r="503" spans="1:7" x14ac:dyDescent="0.35">
      <c r="A503" s="41">
        <v>502</v>
      </c>
      <c r="B503" s="17" t="s">
        <v>6</v>
      </c>
      <c r="C503" s="17" t="s">
        <v>7</v>
      </c>
      <c r="D503" s="17" t="s">
        <v>8</v>
      </c>
      <c r="E503" s="16">
        <v>59500025</v>
      </c>
      <c r="F503" s="19">
        <v>240</v>
      </c>
      <c r="G503" s="20" t="s">
        <v>9</v>
      </c>
    </row>
    <row r="504" spans="1:7" x14ac:dyDescent="0.35">
      <c r="A504" s="41">
        <v>503</v>
      </c>
      <c r="B504" s="17" t="s">
        <v>6</v>
      </c>
      <c r="C504" s="17" t="s">
        <v>7</v>
      </c>
      <c r="D504" s="17" t="s">
        <v>8</v>
      </c>
      <c r="E504" s="16">
        <v>59500033</v>
      </c>
      <c r="F504" s="19">
        <v>236</v>
      </c>
      <c r="G504" s="20" t="s">
        <v>9</v>
      </c>
    </row>
    <row r="505" spans="1:7" x14ac:dyDescent="0.35">
      <c r="A505" s="41">
        <v>504</v>
      </c>
      <c r="B505" s="17" t="s">
        <v>6</v>
      </c>
      <c r="C505" s="17" t="s">
        <v>7</v>
      </c>
      <c r="D505" s="17" t="s">
        <v>183</v>
      </c>
      <c r="E505" s="16">
        <v>59500060</v>
      </c>
      <c r="F505" s="19">
        <v>266</v>
      </c>
      <c r="G505" s="46" t="s">
        <v>27</v>
      </c>
    </row>
    <row r="506" spans="1:7" x14ac:dyDescent="0.35">
      <c r="A506" s="41">
        <v>505</v>
      </c>
      <c r="B506" s="17" t="s">
        <v>6</v>
      </c>
      <c r="C506" s="17" t="s">
        <v>7</v>
      </c>
      <c r="D506" s="17" t="s">
        <v>10</v>
      </c>
      <c r="E506" s="16">
        <v>59500067</v>
      </c>
      <c r="F506" s="19">
        <v>282</v>
      </c>
      <c r="G506" s="20" t="s">
        <v>9</v>
      </c>
    </row>
    <row r="507" spans="1:7" x14ac:dyDescent="0.35">
      <c r="A507" s="41">
        <v>506</v>
      </c>
      <c r="B507" s="17" t="s">
        <v>6</v>
      </c>
      <c r="C507" s="17" t="s">
        <v>7</v>
      </c>
      <c r="D507" s="17" t="s">
        <v>10</v>
      </c>
      <c r="E507" s="16">
        <v>59500105</v>
      </c>
      <c r="F507" s="19">
        <v>312</v>
      </c>
      <c r="G507" s="20" t="s">
        <v>9</v>
      </c>
    </row>
    <row r="508" spans="1:7" x14ac:dyDescent="0.35">
      <c r="A508" s="41">
        <v>507</v>
      </c>
      <c r="B508" s="17" t="s">
        <v>6</v>
      </c>
      <c r="C508" s="17" t="s">
        <v>7</v>
      </c>
      <c r="D508" s="17" t="s">
        <v>184</v>
      </c>
      <c r="E508" s="16">
        <v>59500012</v>
      </c>
      <c r="F508" s="19">
        <v>205</v>
      </c>
      <c r="G508" s="20" t="s">
        <v>9</v>
      </c>
    </row>
    <row r="509" spans="1:7" x14ac:dyDescent="0.35">
      <c r="A509" s="41">
        <v>508</v>
      </c>
      <c r="B509" s="17" t="s">
        <v>6</v>
      </c>
      <c r="C509" s="17" t="s">
        <v>7</v>
      </c>
      <c r="D509" s="17" t="s">
        <v>184</v>
      </c>
      <c r="E509" s="16">
        <v>59500013</v>
      </c>
      <c r="F509" s="19">
        <v>218</v>
      </c>
      <c r="G509" s="20" t="s">
        <v>9</v>
      </c>
    </row>
    <row r="510" spans="1:7" x14ac:dyDescent="0.35">
      <c r="A510" s="41">
        <v>509</v>
      </c>
      <c r="B510" s="17" t="s">
        <v>6</v>
      </c>
      <c r="C510" s="17" t="s">
        <v>7</v>
      </c>
      <c r="D510" s="17" t="s">
        <v>185</v>
      </c>
      <c r="E510" s="16">
        <v>59500046</v>
      </c>
      <c r="F510" s="19">
        <v>205</v>
      </c>
      <c r="G510" s="20" t="s">
        <v>9</v>
      </c>
    </row>
    <row r="511" spans="1:7" x14ac:dyDescent="0.35">
      <c r="A511" s="41">
        <v>510</v>
      </c>
      <c r="B511" s="17" t="s">
        <v>6</v>
      </c>
      <c r="C511" s="17" t="s">
        <v>7</v>
      </c>
      <c r="D511" s="17" t="s">
        <v>186</v>
      </c>
      <c r="E511" s="16">
        <v>59500053</v>
      </c>
      <c r="F511" s="19">
        <v>201</v>
      </c>
      <c r="G511" s="20" t="s">
        <v>9</v>
      </c>
    </row>
    <row r="512" spans="1:7" x14ac:dyDescent="0.35">
      <c r="A512" s="41">
        <v>511</v>
      </c>
      <c r="B512" s="17" t="s">
        <v>6</v>
      </c>
      <c r="C512" s="17" t="s">
        <v>7</v>
      </c>
      <c r="D512" s="17" t="s">
        <v>186</v>
      </c>
      <c r="E512" s="16">
        <v>59500055</v>
      </c>
      <c r="F512" s="19">
        <v>208</v>
      </c>
      <c r="G512" s="20" t="s">
        <v>9</v>
      </c>
    </row>
    <row r="513" spans="1:7" x14ac:dyDescent="0.35">
      <c r="A513" s="41">
        <v>512</v>
      </c>
      <c r="B513" s="17" t="s">
        <v>6</v>
      </c>
      <c r="C513" s="17" t="s">
        <v>7</v>
      </c>
      <c r="D513" s="17" t="s">
        <v>12</v>
      </c>
      <c r="E513" s="16">
        <v>59500006</v>
      </c>
      <c r="F513" s="19">
        <v>210</v>
      </c>
      <c r="G513" s="20" t="s">
        <v>9</v>
      </c>
    </row>
    <row r="514" spans="1:7" x14ac:dyDescent="0.35">
      <c r="A514" s="41">
        <v>513</v>
      </c>
      <c r="B514" s="17" t="s">
        <v>6</v>
      </c>
      <c r="C514" s="17" t="s">
        <v>7</v>
      </c>
      <c r="D514" s="17" t="s">
        <v>12</v>
      </c>
      <c r="E514" s="16">
        <v>59500091</v>
      </c>
      <c r="F514" s="19">
        <v>368</v>
      </c>
      <c r="G514" s="20" t="s">
        <v>9</v>
      </c>
    </row>
    <row r="515" spans="1:7" x14ac:dyDescent="0.35">
      <c r="A515" s="41">
        <v>514</v>
      </c>
      <c r="B515" s="17" t="s">
        <v>6</v>
      </c>
      <c r="C515" s="17" t="s">
        <v>7</v>
      </c>
      <c r="D515" s="17" t="s">
        <v>11</v>
      </c>
      <c r="E515" s="16">
        <v>59500076</v>
      </c>
      <c r="F515" s="19">
        <v>211</v>
      </c>
      <c r="G515" s="20" t="s">
        <v>9</v>
      </c>
    </row>
    <row r="516" spans="1:7" x14ac:dyDescent="0.35">
      <c r="A516" s="41">
        <v>515</v>
      </c>
      <c r="B516" s="17" t="s">
        <v>6</v>
      </c>
      <c r="C516" s="17" t="s">
        <v>7</v>
      </c>
      <c r="D516" s="17" t="s">
        <v>11</v>
      </c>
      <c r="E516" s="16">
        <v>59500079</v>
      </c>
      <c r="F516" s="19">
        <v>207</v>
      </c>
      <c r="G516" s="20" t="s">
        <v>9</v>
      </c>
    </row>
    <row r="517" spans="1:7" x14ac:dyDescent="0.35">
      <c r="A517" s="41">
        <v>516</v>
      </c>
      <c r="B517" s="17" t="s">
        <v>6</v>
      </c>
      <c r="C517" s="17" t="s">
        <v>7</v>
      </c>
      <c r="D517" s="17" t="s">
        <v>11</v>
      </c>
      <c r="E517" s="16">
        <v>59500088</v>
      </c>
      <c r="F517" s="19">
        <v>214</v>
      </c>
      <c r="G517" s="20" t="s">
        <v>9</v>
      </c>
    </row>
    <row r="518" spans="1:7" x14ac:dyDescent="0.35">
      <c r="A518" s="41">
        <v>517</v>
      </c>
      <c r="B518" s="17" t="s">
        <v>6</v>
      </c>
      <c r="C518" s="17" t="s">
        <v>7</v>
      </c>
      <c r="D518" s="17" t="s">
        <v>380</v>
      </c>
      <c r="E518" s="16">
        <v>59500017</v>
      </c>
      <c r="F518" s="19">
        <v>207</v>
      </c>
      <c r="G518" s="46" t="s">
        <v>27</v>
      </c>
    </row>
    <row r="519" spans="1:7" x14ac:dyDescent="0.35">
      <c r="A519" s="41">
        <v>518</v>
      </c>
      <c r="B519" s="17" t="s">
        <v>6</v>
      </c>
      <c r="C519" s="17" t="s">
        <v>13</v>
      </c>
      <c r="D519" s="17" t="s">
        <v>381</v>
      </c>
      <c r="E519" s="16">
        <v>54306008</v>
      </c>
      <c r="F519" s="19">
        <v>201</v>
      </c>
      <c r="G519" s="20" t="s">
        <v>9</v>
      </c>
    </row>
    <row r="520" spans="1:7" x14ac:dyDescent="0.35">
      <c r="A520" s="41">
        <v>519</v>
      </c>
      <c r="B520" s="17" t="s">
        <v>6</v>
      </c>
      <c r="C520" s="17" t="s">
        <v>13</v>
      </c>
      <c r="D520" s="17" t="s">
        <v>381</v>
      </c>
      <c r="E520" s="16">
        <v>54306011</v>
      </c>
      <c r="F520" s="19">
        <v>221</v>
      </c>
      <c r="G520" s="46" t="s">
        <v>27</v>
      </c>
    </row>
    <row r="521" spans="1:7" x14ac:dyDescent="0.35">
      <c r="A521" s="41">
        <v>520</v>
      </c>
      <c r="B521" s="17" t="s">
        <v>6</v>
      </c>
      <c r="C521" s="17" t="s">
        <v>13</v>
      </c>
      <c r="D521" s="17" t="s">
        <v>381</v>
      </c>
      <c r="E521" s="16">
        <v>54306012</v>
      </c>
      <c r="F521" s="19">
        <v>200</v>
      </c>
      <c r="G521" s="46" t="s">
        <v>27</v>
      </c>
    </row>
    <row r="522" spans="1:7" x14ac:dyDescent="0.35">
      <c r="A522" s="41">
        <v>521</v>
      </c>
      <c r="B522" s="17" t="s">
        <v>6</v>
      </c>
      <c r="C522" s="17" t="s">
        <v>13</v>
      </c>
      <c r="D522" s="17" t="s">
        <v>14</v>
      </c>
      <c r="E522" s="16">
        <v>54303004</v>
      </c>
      <c r="F522" s="19">
        <v>278</v>
      </c>
      <c r="G522" s="20" t="s">
        <v>9</v>
      </c>
    </row>
    <row r="523" spans="1:7" x14ac:dyDescent="0.35">
      <c r="A523" s="41">
        <v>522</v>
      </c>
      <c r="B523" s="17" t="s">
        <v>6</v>
      </c>
      <c r="C523" s="17" t="s">
        <v>13</v>
      </c>
      <c r="D523" s="17" t="s">
        <v>14</v>
      </c>
      <c r="E523" s="16">
        <v>54303005</v>
      </c>
      <c r="F523" s="19">
        <v>207</v>
      </c>
      <c r="G523" s="20" t="s">
        <v>9</v>
      </c>
    </row>
    <row r="524" spans="1:7" x14ac:dyDescent="0.35">
      <c r="A524" s="41">
        <v>523</v>
      </c>
      <c r="B524" s="17" t="s">
        <v>6</v>
      </c>
      <c r="C524" s="17" t="s">
        <v>13</v>
      </c>
      <c r="D524" s="17" t="s">
        <v>14</v>
      </c>
      <c r="E524" s="16">
        <v>54303008</v>
      </c>
      <c r="F524" s="19">
        <v>231</v>
      </c>
      <c r="G524" s="20" t="s">
        <v>9</v>
      </c>
    </row>
    <row r="525" spans="1:7" x14ac:dyDescent="0.35">
      <c r="A525" s="41">
        <v>524</v>
      </c>
      <c r="B525" s="17" t="s">
        <v>6</v>
      </c>
      <c r="C525" s="17" t="s">
        <v>13</v>
      </c>
      <c r="D525" s="17" t="s">
        <v>209</v>
      </c>
      <c r="E525" s="16">
        <v>54304004</v>
      </c>
      <c r="F525" s="19">
        <v>201</v>
      </c>
      <c r="G525" s="20" t="s">
        <v>9</v>
      </c>
    </row>
    <row r="526" spans="1:7" x14ac:dyDescent="0.35">
      <c r="A526" s="41">
        <v>525</v>
      </c>
      <c r="B526" s="17" t="s">
        <v>6</v>
      </c>
      <c r="C526" s="17" t="s">
        <v>13</v>
      </c>
      <c r="D526" s="17" t="s">
        <v>209</v>
      </c>
      <c r="E526" s="16">
        <v>54304011</v>
      </c>
      <c r="F526" s="19">
        <v>250</v>
      </c>
      <c r="G526" s="46" t="s">
        <v>27</v>
      </c>
    </row>
    <row r="527" spans="1:7" x14ac:dyDescent="0.35">
      <c r="A527" s="41">
        <v>526</v>
      </c>
      <c r="B527" s="17" t="s">
        <v>6</v>
      </c>
      <c r="C527" s="17" t="s">
        <v>13</v>
      </c>
      <c r="D527" s="17" t="s">
        <v>209</v>
      </c>
      <c r="E527" s="16">
        <v>54304012</v>
      </c>
      <c r="F527" s="19">
        <v>202</v>
      </c>
      <c r="G527" s="20" t="s">
        <v>9</v>
      </c>
    </row>
    <row r="528" spans="1:7" x14ac:dyDescent="0.35">
      <c r="A528" s="41">
        <v>527</v>
      </c>
      <c r="B528" s="17" t="s">
        <v>6</v>
      </c>
      <c r="C528" s="17" t="s">
        <v>13</v>
      </c>
      <c r="D528" s="17" t="s">
        <v>209</v>
      </c>
      <c r="E528" s="16">
        <v>54304014</v>
      </c>
      <c r="F528" s="19">
        <v>200</v>
      </c>
      <c r="G528" s="20" t="s">
        <v>9</v>
      </c>
    </row>
    <row r="529" spans="1:7" x14ac:dyDescent="0.35">
      <c r="A529" s="41">
        <v>528</v>
      </c>
      <c r="B529" s="17" t="s">
        <v>6</v>
      </c>
      <c r="C529" s="17" t="s">
        <v>13</v>
      </c>
      <c r="D529" s="17" t="s">
        <v>15</v>
      </c>
      <c r="E529" s="16">
        <v>54305016</v>
      </c>
      <c r="F529" s="19">
        <v>250</v>
      </c>
      <c r="G529" s="20" t="s">
        <v>9</v>
      </c>
    </row>
    <row r="530" spans="1:7" x14ac:dyDescent="0.35">
      <c r="A530" s="41">
        <v>529</v>
      </c>
      <c r="B530" s="17" t="s">
        <v>6</v>
      </c>
      <c r="C530" s="17" t="s">
        <v>13</v>
      </c>
      <c r="D530" s="17" t="s">
        <v>15</v>
      </c>
      <c r="E530" s="16">
        <v>54305020</v>
      </c>
      <c r="F530" s="19">
        <v>217</v>
      </c>
      <c r="G530" s="20" t="s">
        <v>9</v>
      </c>
    </row>
    <row r="531" spans="1:7" x14ac:dyDescent="0.35">
      <c r="A531" s="41">
        <v>530</v>
      </c>
      <c r="B531" s="17" t="s">
        <v>6</v>
      </c>
      <c r="C531" s="17" t="s">
        <v>13</v>
      </c>
      <c r="D531" s="17" t="s">
        <v>15</v>
      </c>
      <c r="E531" s="16">
        <v>54305022</v>
      </c>
      <c r="F531" s="19">
        <v>200</v>
      </c>
      <c r="G531" s="46" t="s">
        <v>27</v>
      </c>
    </row>
    <row r="532" spans="1:7" x14ac:dyDescent="0.35">
      <c r="A532" s="41">
        <v>531</v>
      </c>
      <c r="B532" s="17" t="s">
        <v>6</v>
      </c>
      <c r="C532" s="17" t="s">
        <v>16</v>
      </c>
      <c r="D532" s="17" t="s">
        <v>17</v>
      </c>
      <c r="E532" s="16">
        <v>52902004</v>
      </c>
      <c r="F532" s="19">
        <v>215</v>
      </c>
      <c r="G532" s="20" t="s">
        <v>9</v>
      </c>
    </row>
    <row r="533" spans="1:7" x14ac:dyDescent="0.35">
      <c r="A533" s="41">
        <v>532</v>
      </c>
      <c r="B533" s="17" t="s">
        <v>6</v>
      </c>
      <c r="C533" s="17" t="s">
        <v>16</v>
      </c>
      <c r="D533" s="17" t="s">
        <v>17</v>
      </c>
      <c r="E533" s="16">
        <v>52902015</v>
      </c>
      <c r="F533" s="19">
        <v>201</v>
      </c>
      <c r="G533" s="20" t="s">
        <v>9</v>
      </c>
    </row>
    <row r="534" spans="1:7" x14ac:dyDescent="0.35">
      <c r="A534" s="41">
        <v>533</v>
      </c>
      <c r="B534" s="17" t="s">
        <v>6</v>
      </c>
      <c r="C534" s="17" t="s">
        <v>16</v>
      </c>
      <c r="D534" s="17" t="s">
        <v>17</v>
      </c>
      <c r="E534" s="16">
        <v>52902024</v>
      </c>
      <c r="F534" s="19">
        <v>228</v>
      </c>
      <c r="G534" s="20" t="s">
        <v>9</v>
      </c>
    </row>
    <row r="535" spans="1:7" x14ac:dyDescent="0.35">
      <c r="A535" s="41">
        <v>534</v>
      </c>
      <c r="B535" s="17" t="s">
        <v>6</v>
      </c>
      <c r="C535" s="17" t="s">
        <v>16</v>
      </c>
      <c r="D535" s="17" t="s">
        <v>204</v>
      </c>
      <c r="E535" s="16">
        <v>52901004</v>
      </c>
      <c r="F535" s="19">
        <v>204</v>
      </c>
      <c r="G535" s="46" t="s">
        <v>27</v>
      </c>
    </row>
    <row r="536" spans="1:7" x14ac:dyDescent="0.35">
      <c r="A536" s="41">
        <v>535</v>
      </c>
      <c r="B536" s="17" t="s">
        <v>6</v>
      </c>
      <c r="C536" s="17" t="s">
        <v>16</v>
      </c>
      <c r="D536" s="17" t="s">
        <v>204</v>
      </c>
      <c r="E536" s="16">
        <v>52901005</v>
      </c>
      <c r="F536" s="19">
        <v>250</v>
      </c>
      <c r="G536" s="46" t="s">
        <v>27</v>
      </c>
    </row>
    <row r="537" spans="1:7" x14ac:dyDescent="0.35">
      <c r="A537" s="41">
        <v>536</v>
      </c>
      <c r="B537" s="17" t="s">
        <v>6</v>
      </c>
      <c r="C537" s="17" t="s">
        <v>16</v>
      </c>
      <c r="D537" s="17" t="s">
        <v>204</v>
      </c>
      <c r="E537" s="16">
        <v>52901006</v>
      </c>
      <c r="F537" s="19">
        <v>203</v>
      </c>
      <c r="G537" s="46" t="s">
        <v>27</v>
      </c>
    </row>
    <row r="538" spans="1:7" x14ac:dyDescent="0.35">
      <c r="A538" s="41">
        <v>537</v>
      </c>
      <c r="B538" s="17" t="s">
        <v>6</v>
      </c>
      <c r="C538" s="17" t="s">
        <v>16</v>
      </c>
      <c r="D538" s="17" t="s">
        <v>204</v>
      </c>
      <c r="E538" s="16">
        <v>52901008</v>
      </c>
      <c r="F538" s="19">
        <v>205</v>
      </c>
      <c r="G538" s="46" t="s">
        <v>27</v>
      </c>
    </row>
    <row r="539" spans="1:7" x14ac:dyDescent="0.35">
      <c r="A539" s="41">
        <v>538</v>
      </c>
      <c r="B539" s="17" t="s">
        <v>6</v>
      </c>
      <c r="C539" s="17" t="s">
        <v>16</v>
      </c>
      <c r="D539" s="17" t="s">
        <v>204</v>
      </c>
      <c r="E539" s="16">
        <v>52901009</v>
      </c>
      <c r="F539" s="19">
        <v>224</v>
      </c>
      <c r="G539" s="20" t="s">
        <v>9</v>
      </c>
    </row>
    <row r="540" spans="1:7" x14ac:dyDescent="0.35">
      <c r="A540" s="41">
        <v>539</v>
      </c>
      <c r="B540" s="17" t="s">
        <v>6</v>
      </c>
      <c r="C540" s="17" t="s">
        <v>16</v>
      </c>
      <c r="D540" s="17" t="s">
        <v>204</v>
      </c>
      <c r="E540" s="16">
        <v>52901010</v>
      </c>
      <c r="F540" s="19">
        <v>301</v>
      </c>
      <c r="G540" s="46" t="s">
        <v>27</v>
      </c>
    </row>
    <row r="541" spans="1:7" x14ac:dyDescent="0.35">
      <c r="A541" s="41">
        <v>540</v>
      </c>
      <c r="B541" s="17" t="s">
        <v>6</v>
      </c>
      <c r="C541" s="17" t="s">
        <v>16</v>
      </c>
      <c r="D541" s="17" t="s">
        <v>204</v>
      </c>
      <c r="E541" s="16">
        <v>52901011</v>
      </c>
      <c r="F541" s="19">
        <v>203</v>
      </c>
      <c r="G541" s="46" t="s">
        <v>27</v>
      </c>
    </row>
    <row r="542" spans="1:7" x14ac:dyDescent="0.35">
      <c r="A542" s="41">
        <v>541</v>
      </c>
      <c r="B542" s="17" t="s">
        <v>6</v>
      </c>
      <c r="C542" s="17" t="s">
        <v>16</v>
      </c>
      <c r="D542" s="17" t="s">
        <v>204</v>
      </c>
      <c r="E542" s="16">
        <v>52901012</v>
      </c>
      <c r="F542" s="19">
        <v>200</v>
      </c>
      <c r="G542" s="46" t="s">
        <v>27</v>
      </c>
    </row>
    <row r="543" spans="1:7" x14ac:dyDescent="0.35">
      <c r="A543" s="41">
        <v>542</v>
      </c>
      <c r="B543" s="17" t="s">
        <v>6</v>
      </c>
      <c r="C543" s="17" t="s">
        <v>16</v>
      </c>
      <c r="D543" s="17" t="s">
        <v>204</v>
      </c>
      <c r="E543" s="16">
        <v>52901016</v>
      </c>
      <c r="F543" s="19">
        <v>215</v>
      </c>
      <c r="G543" s="46" t="s">
        <v>27</v>
      </c>
    </row>
    <row r="544" spans="1:7" x14ac:dyDescent="0.35">
      <c r="A544" s="41">
        <v>543</v>
      </c>
      <c r="B544" s="17" t="s">
        <v>6</v>
      </c>
      <c r="C544" s="17" t="s">
        <v>16</v>
      </c>
      <c r="D544" s="17" t="s">
        <v>204</v>
      </c>
      <c r="E544" s="16">
        <v>52901017</v>
      </c>
      <c r="F544" s="19">
        <v>201</v>
      </c>
      <c r="G544" s="46" t="s">
        <v>27</v>
      </c>
    </row>
    <row r="545" spans="1:7" x14ac:dyDescent="0.35">
      <c r="A545" s="41">
        <v>544</v>
      </c>
      <c r="B545" s="17" t="s">
        <v>6</v>
      </c>
      <c r="C545" s="17" t="s">
        <v>16</v>
      </c>
      <c r="D545" s="17" t="s">
        <v>204</v>
      </c>
      <c r="E545" s="16">
        <v>52901018</v>
      </c>
      <c r="F545" s="19">
        <v>224</v>
      </c>
      <c r="G545" s="46" t="s">
        <v>27</v>
      </c>
    </row>
    <row r="546" spans="1:7" x14ac:dyDescent="0.35">
      <c r="A546" s="41">
        <v>545</v>
      </c>
      <c r="B546" s="17" t="s">
        <v>6</v>
      </c>
      <c r="C546" s="17" t="s">
        <v>16</v>
      </c>
      <c r="D546" s="17" t="s">
        <v>205</v>
      </c>
      <c r="E546" s="16">
        <v>52904005</v>
      </c>
      <c r="F546" s="19">
        <v>263</v>
      </c>
      <c r="G546" s="46" t="s">
        <v>27</v>
      </c>
    </row>
    <row r="547" spans="1:7" x14ac:dyDescent="0.35">
      <c r="A547" s="41">
        <v>546</v>
      </c>
      <c r="B547" s="17" t="s">
        <v>6</v>
      </c>
      <c r="C547" s="17" t="s">
        <v>16</v>
      </c>
      <c r="D547" s="17" t="s">
        <v>205</v>
      </c>
      <c r="E547" s="16">
        <v>52904006</v>
      </c>
      <c r="F547" s="19">
        <v>204</v>
      </c>
      <c r="G547" s="46" t="s">
        <v>27</v>
      </c>
    </row>
    <row r="548" spans="1:7" x14ac:dyDescent="0.35">
      <c r="A548" s="41">
        <v>547</v>
      </c>
      <c r="B548" s="17" t="s">
        <v>6</v>
      </c>
      <c r="C548" s="17" t="s">
        <v>16</v>
      </c>
      <c r="D548" s="17" t="s">
        <v>335</v>
      </c>
      <c r="E548" s="16">
        <v>52903004</v>
      </c>
      <c r="F548" s="19">
        <v>200</v>
      </c>
      <c r="G548" s="20" t="s">
        <v>9</v>
      </c>
    </row>
    <row r="549" spans="1:7" x14ac:dyDescent="0.35">
      <c r="A549" s="41">
        <v>548</v>
      </c>
      <c r="B549" s="17" t="s">
        <v>6</v>
      </c>
      <c r="C549" s="17" t="s">
        <v>16</v>
      </c>
      <c r="D549" s="17" t="s">
        <v>335</v>
      </c>
      <c r="E549" s="16">
        <v>52903005</v>
      </c>
      <c r="F549" s="19">
        <v>248</v>
      </c>
      <c r="G549" s="20" t="s">
        <v>9</v>
      </c>
    </row>
    <row r="550" spans="1:7" x14ac:dyDescent="0.35">
      <c r="A550" s="41">
        <v>549</v>
      </c>
      <c r="B550" s="17" t="s">
        <v>6</v>
      </c>
      <c r="C550" s="17" t="s">
        <v>337</v>
      </c>
      <c r="D550" s="17" t="s">
        <v>224</v>
      </c>
      <c r="E550" s="16">
        <v>52801003</v>
      </c>
      <c r="F550" s="19">
        <v>209</v>
      </c>
      <c r="G550" s="46" t="s">
        <v>27</v>
      </c>
    </row>
    <row r="551" spans="1:7" x14ac:dyDescent="0.35">
      <c r="A551" s="41">
        <v>550</v>
      </c>
      <c r="B551" s="17" t="s">
        <v>6</v>
      </c>
      <c r="C551" s="17" t="s">
        <v>337</v>
      </c>
      <c r="D551" s="17" t="s">
        <v>225</v>
      </c>
      <c r="E551" s="16">
        <v>52802002</v>
      </c>
      <c r="F551" s="19">
        <v>200</v>
      </c>
      <c r="G551" s="20" t="s">
        <v>9</v>
      </c>
    </row>
    <row r="552" spans="1:7" x14ac:dyDescent="0.35">
      <c r="A552" s="41">
        <v>551</v>
      </c>
      <c r="B552" s="17" t="s">
        <v>6</v>
      </c>
      <c r="C552" s="17" t="s">
        <v>337</v>
      </c>
      <c r="D552" s="17" t="s">
        <v>225</v>
      </c>
      <c r="E552" s="16">
        <v>52802017</v>
      </c>
      <c r="F552" s="19">
        <v>205</v>
      </c>
      <c r="G552" s="46" t="s">
        <v>27</v>
      </c>
    </row>
    <row r="553" spans="1:7" x14ac:dyDescent="0.35">
      <c r="A553" s="41">
        <v>552</v>
      </c>
      <c r="B553" s="17" t="s">
        <v>6</v>
      </c>
      <c r="C553" s="17" t="s">
        <v>337</v>
      </c>
      <c r="D553" s="17" t="s">
        <v>225</v>
      </c>
      <c r="E553" s="16">
        <v>52802022</v>
      </c>
      <c r="F553" s="19">
        <v>200</v>
      </c>
      <c r="G553" s="46" t="s">
        <v>27</v>
      </c>
    </row>
    <row r="554" spans="1:7" x14ac:dyDescent="0.35">
      <c r="A554" s="41">
        <v>553</v>
      </c>
      <c r="B554" s="17" t="s">
        <v>6</v>
      </c>
      <c r="C554" s="17" t="s">
        <v>337</v>
      </c>
      <c r="D554" s="17" t="s">
        <v>225</v>
      </c>
      <c r="E554" s="16">
        <v>52802024</v>
      </c>
      <c r="F554" s="19">
        <v>201</v>
      </c>
      <c r="G554" s="20" t="s">
        <v>9</v>
      </c>
    </row>
    <row r="555" spans="1:7" x14ac:dyDescent="0.35">
      <c r="A555" s="41">
        <v>554</v>
      </c>
      <c r="B555" s="17" t="s">
        <v>6</v>
      </c>
      <c r="C555" s="17" t="s">
        <v>337</v>
      </c>
      <c r="D555" s="17" t="s">
        <v>225</v>
      </c>
      <c r="E555" s="16">
        <v>52802034</v>
      </c>
      <c r="F555" s="19">
        <v>226</v>
      </c>
      <c r="G555" s="20" t="s">
        <v>9</v>
      </c>
    </row>
    <row r="556" spans="1:7" x14ac:dyDescent="0.35">
      <c r="A556" s="41">
        <v>555</v>
      </c>
      <c r="B556" s="17" t="s">
        <v>6</v>
      </c>
      <c r="C556" s="17" t="s">
        <v>337</v>
      </c>
      <c r="D556" s="17" t="s">
        <v>226</v>
      </c>
      <c r="E556" s="16">
        <v>52804004</v>
      </c>
      <c r="F556" s="19">
        <v>200</v>
      </c>
      <c r="G556" s="46" t="s">
        <v>27</v>
      </c>
    </row>
    <row r="557" spans="1:7" x14ac:dyDescent="0.35">
      <c r="A557" s="41">
        <v>556</v>
      </c>
      <c r="B557" s="17" t="s">
        <v>6</v>
      </c>
      <c r="C557" s="17" t="s">
        <v>337</v>
      </c>
      <c r="D557" s="17" t="s">
        <v>226</v>
      </c>
      <c r="E557" s="16">
        <v>52804007</v>
      </c>
      <c r="F557" s="19">
        <v>201</v>
      </c>
      <c r="G557" s="46" t="s">
        <v>27</v>
      </c>
    </row>
    <row r="558" spans="1:7" x14ac:dyDescent="0.35">
      <c r="A558" s="41">
        <v>557</v>
      </c>
      <c r="B558" s="17" t="s">
        <v>6</v>
      </c>
      <c r="C558" s="17" t="s">
        <v>336</v>
      </c>
      <c r="D558" s="17" t="s">
        <v>190</v>
      </c>
      <c r="E558" s="16">
        <v>52106001</v>
      </c>
      <c r="F558" s="19">
        <v>200</v>
      </c>
      <c r="G558" s="20" t="s">
        <v>9</v>
      </c>
    </row>
    <row r="559" spans="1:7" x14ac:dyDescent="0.35">
      <c r="A559" s="41">
        <v>558</v>
      </c>
      <c r="B559" s="17" t="s">
        <v>6</v>
      </c>
      <c r="C559" s="17" t="s">
        <v>336</v>
      </c>
      <c r="D559" s="17" t="s">
        <v>190</v>
      </c>
      <c r="E559" s="16">
        <v>52106004</v>
      </c>
      <c r="F559" s="19">
        <v>203</v>
      </c>
      <c r="G559" s="46" t="s">
        <v>27</v>
      </c>
    </row>
    <row r="560" spans="1:7" x14ac:dyDescent="0.35">
      <c r="A560" s="41">
        <v>559</v>
      </c>
      <c r="B560" s="17" t="s">
        <v>6</v>
      </c>
      <c r="C560" s="17" t="s">
        <v>336</v>
      </c>
      <c r="D560" s="17" t="s">
        <v>190</v>
      </c>
      <c r="E560" s="16">
        <v>52106009</v>
      </c>
      <c r="F560" s="19">
        <v>200</v>
      </c>
      <c r="G560" s="20" t="s">
        <v>9</v>
      </c>
    </row>
    <row r="561" spans="1:7" x14ac:dyDescent="0.35">
      <c r="A561" s="41">
        <v>560</v>
      </c>
      <c r="B561" s="17" t="s">
        <v>6</v>
      </c>
      <c r="C561" s="17" t="s">
        <v>336</v>
      </c>
      <c r="D561" s="17" t="s">
        <v>190</v>
      </c>
      <c r="E561" s="16">
        <v>52106011</v>
      </c>
      <c r="F561" s="19">
        <v>202</v>
      </c>
      <c r="G561" s="20" t="s">
        <v>9</v>
      </c>
    </row>
    <row r="562" spans="1:7" x14ac:dyDescent="0.35">
      <c r="A562" s="41">
        <v>561</v>
      </c>
      <c r="B562" s="17" t="s">
        <v>6</v>
      </c>
      <c r="C562" s="17" t="s">
        <v>336</v>
      </c>
      <c r="D562" s="17" t="s">
        <v>190</v>
      </c>
      <c r="E562" s="16">
        <v>52106014</v>
      </c>
      <c r="F562" s="19">
        <v>202</v>
      </c>
      <c r="G562" s="20" t="s">
        <v>9</v>
      </c>
    </row>
    <row r="563" spans="1:7" x14ac:dyDescent="0.35">
      <c r="A563" s="41">
        <v>562</v>
      </c>
      <c r="B563" s="17" t="s">
        <v>6</v>
      </c>
      <c r="C563" s="17" t="s">
        <v>336</v>
      </c>
      <c r="D563" s="17" t="s">
        <v>190</v>
      </c>
      <c r="E563" s="16">
        <v>52106020</v>
      </c>
      <c r="F563" s="19">
        <v>202</v>
      </c>
      <c r="G563" s="20" t="s">
        <v>9</v>
      </c>
    </row>
    <row r="564" spans="1:7" x14ac:dyDescent="0.35">
      <c r="A564" s="41">
        <v>563</v>
      </c>
      <c r="B564" s="17" t="s">
        <v>6</v>
      </c>
      <c r="C564" s="17" t="s">
        <v>336</v>
      </c>
      <c r="D564" s="17" t="s">
        <v>190</v>
      </c>
      <c r="E564" s="16">
        <v>52106024</v>
      </c>
      <c r="F564" s="19">
        <v>216</v>
      </c>
      <c r="G564" s="20" t="s">
        <v>9</v>
      </c>
    </row>
    <row r="565" spans="1:7" x14ac:dyDescent="0.35">
      <c r="A565" s="41">
        <v>564</v>
      </c>
      <c r="B565" s="17" t="s">
        <v>6</v>
      </c>
      <c r="C565" s="17" t="s">
        <v>336</v>
      </c>
      <c r="D565" s="17" t="s">
        <v>190</v>
      </c>
      <c r="E565" s="16">
        <v>52106027</v>
      </c>
      <c r="F565" s="19">
        <v>201</v>
      </c>
      <c r="G565" s="20" t="s">
        <v>9</v>
      </c>
    </row>
    <row r="566" spans="1:7" x14ac:dyDescent="0.35">
      <c r="A566" s="41">
        <v>565</v>
      </c>
      <c r="B566" s="17" t="s">
        <v>6</v>
      </c>
      <c r="C566" s="17" t="s">
        <v>336</v>
      </c>
      <c r="D566" s="17" t="s">
        <v>190</v>
      </c>
      <c r="E566" s="16">
        <v>52106030</v>
      </c>
      <c r="F566" s="19">
        <v>214</v>
      </c>
      <c r="G566" s="20" t="s">
        <v>9</v>
      </c>
    </row>
    <row r="567" spans="1:7" x14ac:dyDescent="0.35">
      <c r="A567" s="41">
        <v>566</v>
      </c>
      <c r="B567" s="17" t="s">
        <v>6</v>
      </c>
      <c r="C567" s="17" t="s">
        <v>336</v>
      </c>
      <c r="D567" s="17" t="s">
        <v>191</v>
      </c>
      <c r="E567" s="16">
        <v>52102009</v>
      </c>
      <c r="F567" s="19">
        <v>216</v>
      </c>
      <c r="G567" s="20" t="s">
        <v>9</v>
      </c>
    </row>
    <row r="568" spans="1:7" x14ac:dyDescent="0.35">
      <c r="A568" s="41">
        <v>567</v>
      </c>
      <c r="B568" s="17" t="s">
        <v>6</v>
      </c>
      <c r="C568" s="17" t="s">
        <v>336</v>
      </c>
      <c r="D568" s="17" t="s">
        <v>189</v>
      </c>
      <c r="E568" s="16">
        <v>52104002</v>
      </c>
      <c r="F568" s="41">
        <v>210</v>
      </c>
      <c r="G568" s="20" t="s">
        <v>9</v>
      </c>
    </row>
    <row r="569" spans="1:7" x14ac:dyDescent="0.35">
      <c r="A569" s="41">
        <v>568</v>
      </c>
      <c r="B569" s="17" t="s">
        <v>6</v>
      </c>
      <c r="C569" s="17" t="s">
        <v>336</v>
      </c>
      <c r="D569" s="17" t="s">
        <v>189</v>
      </c>
      <c r="E569" s="16">
        <v>52104005</v>
      </c>
      <c r="F569" s="19">
        <v>201</v>
      </c>
      <c r="G569" s="46" t="s">
        <v>27</v>
      </c>
    </row>
    <row r="570" spans="1:7" x14ac:dyDescent="0.35">
      <c r="A570" s="41">
        <v>569</v>
      </c>
      <c r="B570" s="17" t="s">
        <v>6</v>
      </c>
      <c r="C570" s="17" t="s">
        <v>333</v>
      </c>
      <c r="D570" s="17" t="s">
        <v>382</v>
      </c>
      <c r="E570" s="16">
        <v>52206001</v>
      </c>
      <c r="F570" s="19">
        <v>200</v>
      </c>
      <c r="G570" s="46" t="s">
        <v>27</v>
      </c>
    </row>
    <row r="571" spans="1:7" x14ac:dyDescent="0.35">
      <c r="A571" s="41">
        <v>570</v>
      </c>
      <c r="B571" s="17" t="s">
        <v>6</v>
      </c>
      <c r="C571" s="17" t="s">
        <v>333</v>
      </c>
      <c r="D571" s="17" t="s">
        <v>334</v>
      </c>
      <c r="E571" s="16">
        <v>52205005</v>
      </c>
      <c r="F571" s="19">
        <v>200</v>
      </c>
      <c r="G571" s="20" t="s">
        <v>9</v>
      </c>
    </row>
    <row r="572" spans="1:7" x14ac:dyDescent="0.35">
      <c r="A572" s="41">
        <v>571</v>
      </c>
      <c r="B572" s="17" t="s">
        <v>6</v>
      </c>
      <c r="C572" s="17" t="s">
        <v>333</v>
      </c>
      <c r="D572" s="17" t="s">
        <v>334</v>
      </c>
      <c r="E572" s="16">
        <v>52205017</v>
      </c>
      <c r="F572" s="19">
        <v>237</v>
      </c>
      <c r="G572" s="20" t="s">
        <v>9</v>
      </c>
    </row>
    <row r="573" spans="1:7" x14ac:dyDescent="0.35">
      <c r="A573" s="41">
        <v>572</v>
      </c>
      <c r="B573" s="17" t="s">
        <v>6</v>
      </c>
      <c r="C573" s="17" t="s">
        <v>333</v>
      </c>
      <c r="D573" s="17" t="s">
        <v>334</v>
      </c>
      <c r="E573" s="16">
        <v>52205033</v>
      </c>
      <c r="F573" s="19">
        <v>274</v>
      </c>
      <c r="G573" s="20" t="s">
        <v>9</v>
      </c>
    </row>
    <row r="574" spans="1:7" x14ac:dyDescent="0.35">
      <c r="A574" s="41">
        <v>573</v>
      </c>
      <c r="B574" s="17" t="s">
        <v>6</v>
      </c>
      <c r="C574" s="17" t="s">
        <v>333</v>
      </c>
      <c r="D574" s="17" t="s">
        <v>334</v>
      </c>
      <c r="E574" s="16">
        <v>52205039</v>
      </c>
      <c r="F574" s="19">
        <v>210</v>
      </c>
      <c r="G574" s="46" t="s">
        <v>27</v>
      </c>
    </row>
    <row r="575" spans="1:7" x14ac:dyDescent="0.35">
      <c r="A575" s="41">
        <v>574</v>
      </c>
      <c r="B575" s="17" t="s">
        <v>6</v>
      </c>
      <c r="C575" s="17" t="s">
        <v>333</v>
      </c>
      <c r="D575" s="17" t="s">
        <v>334</v>
      </c>
      <c r="E575" s="16">
        <v>52205040</v>
      </c>
      <c r="F575" s="19">
        <v>208</v>
      </c>
      <c r="G575" s="20" t="s">
        <v>9</v>
      </c>
    </row>
    <row r="576" spans="1:7" x14ac:dyDescent="0.35">
      <c r="A576" s="41">
        <v>575</v>
      </c>
      <c r="B576" s="17" t="s">
        <v>6</v>
      </c>
      <c r="C576" s="17" t="s">
        <v>333</v>
      </c>
      <c r="D576" s="17" t="s">
        <v>383</v>
      </c>
      <c r="E576" s="16">
        <v>52207004</v>
      </c>
      <c r="F576" s="19">
        <v>201</v>
      </c>
      <c r="G576" s="46" t="s">
        <v>27</v>
      </c>
    </row>
    <row r="577" spans="1:7" x14ac:dyDescent="0.35">
      <c r="A577" s="41">
        <v>576</v>
      </c>
      <c r="B577" s="17" t="s">
        <v>6</v>
      </c>
      <c r="C577" s="17" t="s">
        <v>333</v>
      </c>
      <c r="D577" s="17" t="s">
        <v>214</v>
      </c>
      <c r="E577" s="16">
        <v>52201009</v>
      </c>
      <c r="F577" s="19">
        <v>203</v>
      </c>
      <c r="G577" s="46" t="s">
        <v>27</v>
      </c>
    </row>
    <row r="578" spans="1:7" x14ac:dyDescent="0.35">
      <c r="A578" s="41">
        <v>577</v>
      </c>
      <c r="B578" s="17" t="s">
        <v>6</v>
      </c>
      <c r="C578" s="17" t="s">
        <v>333</v>
      </c>
      <c r="D578" s="17" t="s">
        <v>214</v>
      </c>
      <c r="E578" s="16">
        <v>52201014</v>
      </c>
      <c r="F578" s="19">
        <v>206</v>
      </c>
      <c r="G578" s="46" t="s">
        <v>27</v>
      </c>
    </row>
    <row r="579" spans="1:7" x14ac:dyDescent="0.35">
      <c r="A579" s="41">
        <v>578</v>
      </c>
      <c r="B579" s="17" t="s">
        <v>6</v>
      </c>
      <c r="C579" s="17" t="s">
        <v>18</v>
      </c>
      <c r="D579" s="17" t="s">
        <v>384</v>
      </c>
      <c r="E579" s="16">
        <v>52706005</v>
      </c>
      <c r="F579" s="19">
        <v>204</v>
      </c>
      <c r="G579" s="46" t="s">
        <v>27</v>
      </c>
    </row>
    <row r="580" spans="1:7" x14ac:dyDescent="0.35">
      <c r="A580" s="41">
        <v>579</v>
      </c>
      <c r="B580" s="17" t="s">
        <v>6</v>
      </c>
      <c r="C580" s="17" t="s">
        <v>18</v>
      </c>
      <c r="D580" s="17" t="s">
        <v>202</v>
      </c>
      <c r="E580" s="16">
        <v>52702005</v>
      </c>
      <c r="F580" s="19">
        <v>200</v>
      </c>
      <c r="G580" s="20" t="s">
        <v>9</v>
      </c>
    </row>
    <row r="581" spans="1:7" x14ac:dyDescent="0.35">
      <c r="A581" s="41">
        <v>580</v>
      </c>
      <c r="B581" s="17" t="s">
        <v>6</v>
      </c>
      <c r="C581" s="17" t="s">
        <v>18</v>
      </c>
      <c r="D581" s="17" t="s">
        <v>202</v>
      </c>
      <c r="E581" s="16">
        <v>52702007</v>
      </c>
      <c r="F581" s="19">
        <v>200</v>
      </c>
      <c r="G581" s="20" t="s">
        <v>9</v>
      </c>
    </row>
    <row r="582" spans="1:7" x14ac:dyDescent="0.35">
      <c r="A582" s="41">
        <v>581</v>
      </c>
      <c r="B582" s="17" t="s">
        <v>6</v>
      </c>
      <c r="C582" s="17" t="s">
        <v>18</v>
      </c>
      <c r="D582" s="17" t="s">
        <v>19</v>
      </c>
      <c r="E582" s="16">
        <v>52705001</v>
      </c>
      <c r="F582" s="19">
        <v>231</v>
      </c>
      <c r="G582" s="20" t="s">
        <v>9</v>
      </c>
    </row>
    <row r="583" spans="1:7" x14ac:dyDescent="0.35">
      <c r="A583" s="41">
        <v>582</v>
      </c>
      <c r="B583" s="17" t="s">
        <v>6</v>
      </c>
      <c r="C583" s="17" t="s">
        <v>18</v>
      </c>
      <c r="D583" s="17" t="s">
        <v>19</v>
      </c>
      <c r="E583" s="16">
        <v>52705006</v>
      </c>
      <c r="F583" s="19">
        <v>203</v>
      </c>
      <c r="G583" s="46" t="s">
        <v>27</v>
      </c>
    </row>
    <row r="584" spans="1:7" x14ac:dyDescent="0.35">
      <c r="A584" s="41">
        <v>583</v>
      </c>
      <c r="B584" s="17" t="s">
        <v>6</v>
      </c>
      <c r="C584" s="17" t="s">
        <v>18</v>
      </c>
      <c r="D584" s="17" t="s">
        <v>19</v>
      </c>
      <c r="E584" s="16">
        <v>52705012</v>
      </c>
      <c r="F584" s="19">
        <v>205</v>
      </c>
      <c r="G584" s="20" t="s">
        <v>9</v>
      </c>
    </row>
    <row r="585" spans="1:7" x14ac:dyDescent="0.35">
      <c r="A585" s="41">
        <v>584</v>
      </c>
      <c r="B585" s="17" t="s">
        <v>6</v>
      </c>
      <c r="C585" s="17" t="s">
        <v>18</v>
      </c>
      <c r="D585" s="17" t="s">
        <v>19</v>
      </c>
      <c r="E585" s="16">
        <v>52705023</v>
      </c>
      <c r="F585" s="19">
        <v>205</v>
      </c>
      <c r="G585" s="46" t="s">
        <v>27</v>
      </c>
    </row>
    <row r="586" spans="1:7" x14ac:dyDescent="0.35">
      <c r="A586" s="41">
        <v>585</v>
      </c>
      <c r="B586" s="17" t="s">
        <v>6</v>
      </c>
      <c r="C586" s="17" t="s">
        <v>385</v>
      </c>
      <c r="D586" s="17" t="s">
        <v>196</v>
      </c>
      <c r="E586" s="16">
        <v>52603003</v>
      </c>
      <c r="F586" s="19">
        <v>204</v>
      </c>
      <c r="G586" s="46" t="s">
        <v>27</v>
      </c>
    </row>
    <row r="587" spans="1:7" x14ac:dyDescent="0.35">
      <c r="A587" s="41">
        <v>586</v>
      </c>
      <c r="B587" s="17" t="s">
        <v>6</v>
      </c>
      <c r="C587" s="17" t="s">
        <v>385</v>
      </c>
      <c r="D587" s="17" t="s">
        <v>196</v>
      </c>
      <c r="E587" s="16">
        <v>52603023</v>
      </c>
      <c r="F587" s="19">
        <v>207</v>
      </c>
      <c r="G587" s="20" t="s">
        <v>9</v>
      </c>
    </row>
    <row r="588" spans="1:7" x14ac:dyDescent="0.35">
      <c r="A588" s="41">
        <v>587</v>
      </c>
      <c r="B588" s="17" t="s">
        <v>6</v>
      </c>
      <c r="C588" s="17" t="s">
        <v>385</v>
      </c>
      <c r="D588" s="17" t="s">
        <v>198</v>
      </c>
      <c r="E588" s="16">
        <v>52605008</v>
      </c>
      <c r="F588" s="19">
        <v>281</v>
      </c>
      <c r="G588" s="20" t="s">
        <v>9</v>
      </c>
    </row>
    <row r="589" spans="1:7" x14ac:dyDescent="0.35">
      <c r="A589" s="41">
        <v>588</v>
      </c>
      <c r="B589" s="17" t="s">
        <v>6</v>
      </c>
      <c r="C589" s="17" t="s">
        <v>385</v>
      </c>
      <c r="D589" s="17" t="s">
        <v>198</v>
      </c>
      <c r="E589" s="16">
        <v>52605013</v>
      </c>
      <c r="F589" s="19">
        <v>208</v>
      </c>
      <c r="G589" s="46" t="s">
        <v>27</v>
      </c>
    </row>
    <row r="590" spans="1:7" x14ac:dyDescent="0.35">
      <c r="A590" s="41">
        <v>589</v>
      </c>
      <c r="B590" s="17" t="s">
        <v>6</v>
      </c>
      <c r="C590" s="17" t="s">
        <v>385</v>
      </c>
      <c r="D590" s="17" t="s">
        <v>199</v>
      </c>
      <c r="E590" s="16">
        <v>52606018</v>
      </c>
      <c r="F590" s="19">
        <v>203</v>
      </c>
      <c r="G590" s="46" t="s">
        <v>27</v>
      </c>
    </row>
    <row r="591" spans="1:7" x14ac:dyDescent="0.35">
      <c r="A591" s="41">
        <v>590</v>
      </c>
      <c r="B591" s="16" t="s">
        <v>56</v>
      </c>
      <c r="C591" s="16" t="s">
        <v>57</v>
      </c>
      <c r="D591" s="16" t="s">
        <v>58</v>
      </c>
      <c r="E591" s="16">
        <v>93501002</v>
      </c>
      <c r="F591" s="41">
        <v>201</v>
      </c>
      <c r="G591" s="37" t="s">
        <v>9</v>
      </c>
    </row>
    <row r="592" spans="1:7" x14ac:dyDescent="0.35">
      <c r="A592" s="41">
        <v>591</v>
      </c>
      <c r="B592" s="16" t="s">
        <v>56</v>
      </c>
      <c r="C592" s="16" t="s">
        <v>57</v>
      </c>
      <c r="D592" s="16" t="s">
        <v>58</v>
      </c>
      <c r="E592" s="16">
        <v>93501008</v>
      </c>
      <c r="F592" s="41">
        <v>200</v>
      </c>
      <c r="G592" s="37" t="s">
        <v>9</v>
      </c>
    </row>
    <row r="593" spans="1:7" x14ac:dyDescent="0.35">
      <c r="A593" s="41">
        <v>592</v>
      </c>
      <c r="B593" s="16" t="s">
        <v>56</v>
      </c>
      <c r="C593" s="16" t="s">
        <v>57</v>
      </c>
      <c r="D593" s="16" t="s">
        <v>58</v>
      </c>
      <c r="E593" s="16">
        <v>93501014</v>
      </c>
      <c r="F593" s="41">
        <v>210</v>
      </c>
      <c r="G593" s="37" t="s">
        <v>9</v>
      </c>
    </row>
    <row r="594" spans="1:7" x14ac:dyDescent="0.35">
      <c r="A594" s="41">
        <v>593</v>
      </c>
      <c r="B594" s="16" t="s">
        <v>56</v>
      </c>
      <c r="C594" s="16" t="s">
        <v>57</v>
      </c>
      <c r="D594" s="16" t="s">
        <v>58</v>
      </c>
      <c r="E594" s="16">
        <v>93501015</v>
      </c>
      <c r="F594" s="47">
        <v>201</v>
      </c>
      <c r="G594" s="37" t="s">
        <v>9</v>
      </c>
    </row>
    <row r="595" spans="1:7" x14ac:dyDescent="0.35">
      <c r="A595" s="41">
        <v>594</v>
      </c>
      <c r="B595" s="16" t="s">
        <v>56</v>
      </c>
      <c r="C595" s="16" t="s">
        <v>57</v>
      </c>
      <c r="D595" s="16" t="s">
        <v>58</v>
      </c>
      <c r="E595" s="16">
        <v>93501019</v>
      </c>
      <c r="F595" s="47">
        <v>281</v>
      </c>
      <c r="G595" s="37" t="s">
        <v>9</v>
      </c>
    </row>
    <row r="596" spans="1:7" x14ac:dyDescent="0.35">
      <c r="A596" s="41">
        <v>595</v>
      </c>
      <c r="B596" s="16" t="s">
        <v>56</v>
      </c>
      <c r="C596" s="16" t="s">
        <v>57</v>
      </c>
      <c r="D596" s="16" t="s">
        <v>59</v>
      </c>
      <c r="E596" s="16">
        <v>93505009</v>
      </c>
      <c r="F596" s="47">
        <v>219</v>
      </c>
      <c r="G596" s="37" t="s">
        <v>9</v>
      </c>
    </row>
    <row r="597" spans="1:7" x14ac:dyDescent="0.35">
      <c r="A597" s="41">
        <v>596</v>
      </c>
      <c r="B597" s="16" t="s">
        <v>56</v>
      </c>
      <c r="C597" s="16" t="s">
        <v>57</v>
      </c>
      <c r="D597" s="16" t="s">
        <v>59</v>
      </c>
      <c r="E597" s="16">
        <v>93505013</v>
      </c>
      <c r="F597" s="47">
        <v>204</v>
      </c>
      <c r="G597" s="37" t="s">
        <v>9</v>
      </c>
    </row>
    <row r="598" spans="1:7" x14ac:dyDescent="0.35">
      <c r="A598" s="41">
        <v>597</v>
      </c>
      <c r="B598" s="16" t="s">
        <v>56</v>
      </c>
      <c r="C598" s="16" t="s">
        <v>57</v>
      </c>
      <c r="D598" s="16" t="s">
        <v>59</v>
      </c>
      <c r="E598" s="16">
        <v>93505015</v>
      </c>
      <c r="F598" s="47">
        <v>200</v>
      </c>
      <c r="G598" s="37" t="s">
        <v>9</v>
      </c>
    </row>
    <row r="599" spans="1:7" x14ac:dyDescent="0.35">
      <c r="A599" s="41">
        <v>598</v>
      </c>
      <c r="B599" s="16" t="s">
        <v>56</v>
      </c>
      <c r="C599" s="16" t="s">
        <v>57</v>
      </c>
      <c r="D599" s="16" t="s">
        <v>59</v>
      </c>
      <c r="E599" s="16">
        <v>93505016</v>
      </c>
      <c r="F599" s="41">
        <v>202</v>
      </c>
      <c r="G599" s="37" t="s">
        <v>9</v>
      </c>
    </row>
    <row r="600" spans="1:7" x14ac:dyDescent="0.35">
      <c r="A600" s="41">
        <v>599</v>
      </c>
      <c r="B600" s="16" t="s">
        <v>56</v>
      </c>
      <c r="C600" s="16" t="s">
        <v>57</v>
      </c>
      <c r="D600" s="16" t="s">
        <v>59</v>
      </c>
      <c r="E600" s="16">
        <v>93505018</v>
      </c>
      <c r="F600" s="41">
        <v>223</v>
      </c>
      <c r="G600" s="37" t="s">
        <v>9</v>
      </c>
    </row>
    <row r="601" spans="1:7" x14ac:dyDescent="0.35">
      <c r="A601" s="41">
        <v>600</v>
      </c>
      <c r="B601" s="16" t="s">
        <v>56</v>
      </c>
      <c r="C601" s="16" t="s">
        <v>57</v>
      </c>
      <c r="D601" s="16" t="s">
        <v>59</v>
      </c>
      <c r="E601" s="16">
        <v>93505020</v>
      </c>
      <c r="F601" s="41">
        <v>200</v>
      </c>
      <c r="G601" s="37" t="s">
        <v>9</v>
      </c>
    </row>
    <row r="602" spans="1:7" x14ac:dyDescent="0.35">
      <c r="A602" s="41">
        <v>601</v>
      </c>
      <c r="B602" s="16" t="s">
        <v>56</v>
      </c>
      <c r="C602" s="16" t="s">
        <v>57</v>
      </c>
      <c r="D602" s="16" t="s">
        <v>59</v>
      </c>
      <c r="E602" s="16">
        <v>93505025</v>
      </c>
      <c r="F602" s="47">
        <v>200</v>
      </c>
      <c r="G602" s="37" t="s">
        <v>9</v>
      </c>
    </row>
    <row r="603" spans="1:7" x14ac:dyDescent="0.35">
      <c r="A603" s="41">
        <v>602</v>
      </c>
      <c r="B603" s="16" t="s">
        <v>56</v>
      </c>
      <c r="C603" s="16" t="s">
        <v>57</v>
      </c>
      <c r="D603" s="16" t="s">
        <v>59</v>
      </c>
      <c r="E603" s="16">
        <v>93505026</v>
      </c>
      <c r="F603" s="41">
        <v>207</v>
      </c>
      <c r="G603" s="37" t="s">
        <v>9</v>
      </c>
    </row>
    <row r="604" spans="1:7" x14ac:dyDescent="0.35">
      <c r="A604" s="41">
        <v>603</v>
      </c>
      <c r="B604" s="16" t="s">
        <v>56</v>
      </c>
      <c r="C604" s="16" t="s">
        <v>57</v>
      </c>
      <c r="D604" s="16" t="s">
        <v>59</v>
      </c>
      <c r="E604" s="16">
        <v>93505027</v>
      </c>
      <c r="F604" s="47">
        <v>200</v>
      </c>
      <c r="G604" s="37" t="s">
        <v>9</v>
      </c>
    </row>
    <row r="605" spans="1:7" x14ac:dyDescent="0.35">
      <c r="A605" s="41">
        <v>604</v>
      </c>
      <c r="B605" s="16" t="s">
        <v>56</v>
      </c>
      <c r="C605" s="16" t="s">
        <v>57</v>
      </c>
      <c r="D605" s="16" t="s">
        <v>59</v>
      </c>
      <c r="E605" s="16">
        <v>93505029</v>
      </c>
      <c r="F605" s="47">
        <v>200</v>
      </c>
      <c r="G605" s="37" t="s">
        <v>9</v>
      </c>
    </row>
    <row r="606" spans="1:7" x14ac:dyDescent="0.35">
      <c r="A606" s="41">
        <v>605</v>
      </c>
      <c r="B606" s="16" t="s">
        <v>56</v>
      </c>
      <c r="C606" s="16" t="s">
        <v>57</v>
      </c>
      <c r="D606" s="16" t="s">
        <v>59</v>
      </c>
      <c r="E606" s="16">
        <v>93505030</v>
      </c>
      <c r="F606" s="41">
        <v>200</v>
      </c>
      <c r="G606" s="37" t="s">
        <v>9</v>
      </c>
    </row>
    <row r="607" spans="1:7" x14ac:dyDescent="0.35">
      <c r="A607" s="41">
        <v>606</v>
      </c>
      <c r="B607" s="16" t="s">
        <v>56</v>
      </c>
      <c r="C607" s="16" t="s">
        <v>57</v>
      </c>
      <c r="D607" s="16" t="s">
        <v>338</v>
      </c>
      <c r="E607" s="16">
        <v>93503002</v>
      </c>
      <c r="F607" s="41">
        <v>201</v>
      </c>
      <c r="G607" s="37" t="s">
        <v>9</v>
      </c>
    </row>
    <row r="608" spans="1:7" x14ac:dyDescent="0.35">
      <c r="A608" s="41">
        <v>607</v>
      </c>
      <c r="B608" s="16" t="s">
        <v>56</v>
      </c>
      <c r="C608" s="16" t="s">
        <v>57</v>
      </c>
      <c r="D608" s="16" t="s">
        <v>338</v>
      </c>
      <c r="E608" s="16">
        <v>93503005</v>
      </c>
      <c r="F608" s="47">
        <v>202</v>
      </c>
      <c r="G608" s="37" t="s">
        <v>9</v>
      </c>
    </row>
    <row r="609" spans="1:7" x14ac:dyDescent="0.35">
      <c r="A609" s="41">
        <v>608</v>
      </c>
      <c r="B609" s="16" t="s">
        <v>56</v>
      </c>
      <c r="C609" s="16" t="s">
        <v>57</v>
      </c>
      <c r="D609" s="16" t="s">
        <v>338</v>
      </c>
      <c r="E609" s="16">
        <v>93503007</v>
      </c>
      <c r="F609" s="47">
        <v>214</v>
      </c>
      <c r="G609" s="37" t="s">
        <v>9</v>
      </c>
    </row>
    <row r="610" spans="1:7" x14ac:dyDescent="0.35">
      <c r="A610" s="41">
        <v>609</v>
      </c>
      <c r="B610" s="16" t="s">
        <v>56</v>
      </c>
      <c r="C610" s="16" t="s">
        <v>57</v>
      </c>
      <c r="D610" s="16" t="s">
        <v>338</v>
      </c>
      <c r="E610" s="16">
        <v>93503008</v>
      </c>
      <c r="F610" s="41">
        <v>200</v>
      </c>
      <c r="G610" s="37" t="s">
        <v>9</v>
      </c>
    </row>
    <row r="611" spans="1:7" x14ac:dyDescent="0.35">
      <c r="A611" s="41">
        <v>610</v>
      </c>
      <c r="B611" s="16" t="s">
        <v>56</v>
      </c>
      <c r="C611" s="16" t="s">
        <v>57</v>
      </c>
      <c r="D611" s="16" t="s">
        <v>338</v>
      </c>
      <c r="E611" s="16">
        <v>93503009</v>
      </c>
      <c r="F611" s="47">
        <v>213</v>
      </c>
      <c r="G611" s="48" t="s">
        <v>27</v>
      </c>
    </row>
    <row r="612" spans="1:7" x14ac:dyDescent="0.35">
      <c r="A612" s="41">
        <v>611</v>
      </c>
      <c r="B612" s="16" t="s">
        <v>56</v>
      </c>
      <c r="C612" s="16" t="s">
        <v>57</v>
      </c>
      <c r="D612" s="16" t="s">
        <v>338</v>
      </c>
      <c r="E612" s="16">
        <v>93503014</v>
      </c>
      <c r="F612" s="41">
        <v>204</v>
      </c>
      <c r="G612" s="37" t="s">
        <v>9</v>
      </c>
    </row>
    <row r="613" spans="1:7" x14ac:dyDescent="0.35">
      <c r="A613" s="41">
        <v>612</v>
      </c>
      <c r="B613" s="16" t="s">
        <v>56</v>
      </c>
      <c r="C613" s="16" t="s">
        <v>57</v>
      </c>
      <c r="D613" s="16" t="s">
        <v>338</v>
      </c>
      <c r="E613" s="16">
        <v>93503015</v>
      </c>
      <c r="F613" s="47">
        <v>207</v>
      </c>
      <c r="G613" s="37" t="s">
        <v>9</v>
      </c>
    </row>
    <row r="614" spans="1:7" x14ac:dyDescent="0.35">
      <c r="A614" s="41">
        <v>613</v>
      </c>
      <c r="B614" s="16" t="s">
        <v>56</v>
      </c>
      <c r="C614" s="16" t="s">
        <v>57</v>
      </c>
      <c r="D614" s="16" t="s">
        <v>338</v>
      </c>
      <c r="E614" s="16">
        <v>93503016</v>
      </c>
      <c r="F614" s="41">
        <v>205</v>
      </c>
      <c r="G614" s="37" t="s">
        <v>9</v>
      </c>
    </row>
    <row r="615" spans="1:7" x14ac:dyDescent="0.35">
      <c r="A615" s="41">
        <v>614</v>
      </c>
      <c r="B615" s="16" t="s">
        <v>56</v>
      </c>
      <c r="C615" s="16" t="s">
        <v>57</v>
      </c>
      <c r="D615" s="16" t="s">
        <v>60</v>
      </c>
      <c r="E615" s="16">
        <v>93504005</v>
      </c>
      <c r="F615" s="47">
        <v>209</v>
      </c>
      <c r="G615" s="48" t="s">
        <v>27</v>
      </c>
    </row>
    <row r="616" spans="1:7" x14ac:dyDescent="0.35">
      <c r="A616" s="41">
        <v>615</v>
      </c>
      <c r="B616" s="16" t="s">
        <v>56</v>
      </c>
      <c r="C616" s="16" t="s">
        <v>57</v>
      </c>
      <c r="D616" s="16" t="s">
        <v>60</v>
      </c>
      <c r="E616" s="16">
        <v>93504006</v>
      </c>
      <c r="F616" s="41">
        <v>201</v>
      </c>
      <c r="G616" s="37" t="s">
        <v>9</v>
      </c>
    </row>
    <row r="617" spans="1:7" x14ac:dyDescent="0.35">
      <c r="A617" s="41">
        <v>616</v>
      </c>
      <c r="B617" s="16" t="s">
        <v>56</v>
      </c>
      <c r="C617" s="16" t="s">
        <v>57</v>
      </c>
      <c r="D617" s="16" t="s">
        <v>60</v>
      </c>
      <c r="E617" s="16">
        <v>93504007</v>
      </c>
      <c r="F617" s="47">
        <v>207</v>
      </c>
      <c r="G617" s="37" t="s">
        <v>9</v>
      </c>
    </row>
    <row r="618" spans="1:7" x14ac:dyDescent="0.35">
      <c r="A618" s="41">
        <v>617</v>
      </c>
      <c r="B618" s="16" t="s">
        <v>56</v>
      </c>
      <c r="C618" s="16" t="s">
        <v>57</v>
      </c>
      <c r="D618" s="16" t="s">
        <v>60</v>
      </c>
      <c r="E618" s="16">
        <v>93504008</v>
      </c>
      <c r="F618" s="41">
        <v>271</v>
      </c>
      <c r="G618" s="37" t="s">
        <v>9</v>
      </c>
    </row>
    <row r="619" spans="1:7" x14ac:dyDescent="0.35">
      <c r="A619" s="41">
        <v>618</v>
      </c>
      <c r="B619" s="16" t="s">
        <v>56</v>
      </c>
      <c r="C619" s="16" t="s">
        <v>57</v>
      </c>
      <c r="D619" s="16" t="s">
        <v>60</v>
      </c>
      <c r="E619" s="16">
        <v>93504009</v>
      </c>
      <c r="F619" s="47">
        <v>200</v>
      </c>
      <c r="G619" s="37" t="s">
        <v>9</v>
      </c>
    </row>
    <row r="620" spans="1:7" x14ac:dyDescent="0.35">
      <c r="A620" s="41">
        <v>619</v>
      </c>
      <c r="B620" s="16" t="s">
        <v>56</v>
      </c>
      <c r="C620" s="16" t="s">
        <v>57</v>
      </c>
      <c r="D620" s="16" t="s">
        <v>60</v>
      </c>
      <c r="E620" s="16">
        <v>93504010</v>
      </c>
      <c r="F620" s="41">
        <v>379</v>
      </c>
      <c r="G620" s="37" t="s">
        <v>9</v>
      </c>
    </row>
    <row r="621" spans="1:7" x14ac:dyDescent="0.35">
      <c r="A621" s="41">
        <v>620</v>
      </c>
      <c r="B621" s="16" t="s">
        <v>56</v>
      </c>
      <c r="C621" s="16" t="s">
        <v>57</v>
      </c>
      <c r="D621" s="16" t="s">
        <v>60</v>
      </c>
      <c r="E621" s="16">
        <v>93504011</v>
      </c>
      <c r="F621" s="47">
        <v>202</v>
      </c>
      <c r="G621" s="37" t="s">
        <v>9</v>
      </c>
    </row>
    <row r="622" spans="1:7" x14ac:dyDescent="0.35">
      <c r="A622" s="41">
        <v>621</v>
      </c>
      <c r="B622" s="16" t="s">
        <v>56</v>
      </c>
      <c r="C622" s="16" t="s">
        <v>57</v>
      </c>
      <c r="D622" s="16" t="s">
        <v>60</v>
      </c>
      <c r="E622" s="16">
        <v>93504012</v>
      </c>
      <c r="F622" s="41">
        <v>200</v>
      </c>
      <c r="G622" s="37" t="s">
        <v>9</v>
      </c>
    </row>
    <row r="623" spans="1:7" x14ac:dyDescent="0.35">
      <c r="A623" s="41">
        <v>622</v>
      </c>
      <c r="B623" s="16" t="s">
        <v>56</v>
      </c>
      <c r="C623" s="16" t="s">
        <v>57</v>
      </c>
      <c r="D623" s="16" t="s">
        <v>60</v>
      </c>
      <c r="E623" s="16">
        <v>93504013</v>
      </c>
      <c r="F623" s="47">
        <v>765</v>
      </c>
      <c r="G623" s="37" t="s">
        <v>9</v>
      </c>
    </row>
    <row r="624" spans="1:7" x14ac:dyDescent="0.35">
      <c r="A624" s="41">
        <v>623</v>
      </c>
      <c r="B624" s="16" t="s">
        <v>56</v>
      </c>
      <c r="C624" s="16" t="s">
        <v>57</v>
      </c>
      <c r="D624" s="16" t="s">
        <v>60</v>
      </c>
      <c r="E624" s="16">
        <v>93504014</v>
      </c>
      <c r="F624" s="41">
        <v>233</v>
      </c>
      <c r="G624" s="37" t="s">
        <v>9</v>
      </c>
    </row>
    <row r="625" spans="1:7" x14ac:dyDescent="0.35">
      <c r="A625" s="41">
        <v>624</v>
      </c>
      <c r="B625" s="16" t="s">
        <v>56</v>
      </c>
      <c r="C625" s="16" t="s">
        <v>57</v>
      </c>
      <c r="D625" s="16" t="s">
        <v>60</v>
      </c>
      <c r="E625" s="16">
        <v>93504016</v>
      </c>
      <c r="F625" s="41">
        <v>200</v>
      </c>
      <c r="G625" s="37" t="s">
        <v>9</v>
      </c>
    </row>
    <row r="626" spans="1:7" x14ac:dyDescent="0.35">
      <c r="A626" s="41">
        <v>625</v>
      </c>
      <c r="B626" s="16" t="s">
        <v>56</v>
      </c>
      <c r="C626" s="16" t="s">
        <v>57</v>
      </c>
      <c r="D626" s="16" t="s">
        <v>60</v>
      </c>
      <c r="E626" s="16">
        <v>93504017</v>
      </c>
      <c r="F626" s="47">
        <v>237</v>
      </c>
      <c r="G626" s="37" t="s">
        <v>9</v>
      </c>
    </row>
    <row r="627" spans="1:7" x14ac:dyDescent="0.35">
      <c r="A627" s="41">
        <v>626</v>
      </c>
      <c r="B627" s="16" t="s">
        <v>56</v>
      </c>
      <c r="C627" s="16" t="s">
        <v>57</v>
      </c>
      <c r="D627" s="16" t="s">
        <v>60</v>
      </c>
      <c r="E627" s="16">
        <v>93504020</v>
      </c>
      <c r="F627" s="41">
        <v>248</v>
      </c>
      <c r="G627" s="37" t="s">
        <v>9</v>
      </c>
    </row>
    <row r="628" spans="1:7" x14ac:dyDescent="0.35">
      <c r="A628" s="41">
        <v>627</v>
      </c>
      <c r="B628" s="16" t="s">
        <v>56</v>
      </c>
      <c r="C628" s="16" t="s">
        <v>57</v>
      </c>
      <c r="D628" s="16" t="s">
        <v>60</v>
      </c>
      <c r="E628" s="16">
        <v>93504021</v>
      </c>
      <c r="F628" s="47">
        <v>200</v>
      </c>
      <c r="G628" s="37" t="s">
        <v>9</v>
      </c>
    </row>
    <row r="629" spans="1:7" x14ac:dyDescent="0.35">
      <c r="A629" s="41">
        <v>628</v>
      </c>
      <c r="B629" s="16" t="s">
        <v>56</v>
      </c>
      <c r="C629" s="16" t="s">
        <v>57</v>
      </c>
      <c r="D629" s="16" t="s">
        <v>60</v>
      </c>
      <c r="E629" s="16">
        <v>93504023</v>
      </c>
      <c r="F629" s="47">
        <v>206</v>
      </c>
      <c r="G629" s="37" t="s">
        <v>9</v>
      </c>
    </row>
    <row r="630" spans="1:7" x14ac:dyDescent="0.35">
      <c r="A630" s="41">
        <v>629</v>
      </c>
      <c r="B630" s="16" t="s">
        <v>56</v>
      </c>
      <c r="C630" s="16" t="s">
        <v>57</v>
      </c>
      <c r="D630" s="16" t="s">
        <v>60</v>
      </c>
      <c r="E630" s="16">
        <v>93504024</v>
      </c>
      <c r="F630" s="41">
        <v>200</v>
      </c>
      <c r="G630" s="37" t="s">
        <v>9</v>
      </c>
    </row>
    <row r="631" spans="1:7" x14ac:dyDescent="0.35">
      <c r="A631" s="41">
        <v>630</v>
      </c>
      <c r="B631" s="16" t="s">
        <v>56</v>
      </c>
      <c r="C631" s="16" t="s">
        <v>57</v>
      </c>
      <c r="D631" s="16" t="s">
        <v>60</v>
      </c>
      <c r="E631" s="16">
        <v>93504025</v>
      </c>
      <c r="F631" s="47">
        <v>234</v>
      </c>
      <c r="G631" s="37" t="s">
        <v>9</v>
      </c>
    </row>
    <row r="632" spans="1:7" x14ac:dyDescent="0.35">
      <c r="A632" s="41">
        <v>631</v>
      </c>
      <c r="B632" s="16" t="s">
        <v>56</v>
      </c>
      <c r="C632" s="16" t="s">
        <v>57</v>
      </c>
      <c r="D632" s="16" t="s">
        <v>60</v>
      </c>
      <c r="E632" s="16">
        <v>93504026</v>
      </c>
      <c r="F632" s="41">
        <v>226</v>
      </c>
      <c r="G632" s="37" t="s">
        <v>9</v>
      </c>
    </row>
    <row r="633" spans="1:7" x14ac:dyDescent="0.35">
      <c r="A633" s="41">
        <v>632</v>
      </c>
      <c r="B633" s="16" t="s">
        <v>56</v>
      </c>
      <c r="C633" s="16" t="s">
        <v>57</v>
      </c>
      <c r="D633" s="16" t="s">
        <v>60</v>
      </c>
      <c r="E633" s="16">
        <v>93504027</v>
      </c>
      <c r="F633" s="47">
        <v>205</v>
      </c>
      <c r="G633" s="37" t="s">
        <v>9</v>
      </c>
    </row>
    <row r="634" spans="1:7" x14ac:dyDescent="0.35">
      <c r="A634" s="41">
        <v>633</v>
      </c>
      <c r="B634" s="16" t="s">
        <v>56</v>
      </c>
      <c r="C634" s="16" t="s">
        <v>57</v>
      </c>
      <c r="D634" s="16" t="s">
        <v>60</v>
      </c>
      <c r="E634" s="16">
        <v>93504029</v>
      </c>
      <c r="F634" s="47">
        <v>278</v>
      </c>
      <c r="G634" s="37" t="s">
        <v>9</v>
      </c>
    </row>
    <row r="635" spans="1:7" x14ac:dyDescent="0.35">
      <c r="A635" s="41">
        <v>634</v>
      </c>
      <c r="B635" s="16" t="s">
        <v>56</v>
      </c>
      <c r="C635" s="16" t="s">
        <v>57</v>
      </c>
      <c r="D635" s="16" t="s">
        <v>60</v>
      </c>
      <c r="E635" s="16">
        <v>93504030</v>
      </c>
      <c r="F635" s="41">
        <v>218</v>
      </c>
      <c r="G635" s="37" t="s">
        <v>9</v>
      </c>
    </row>
    <row r="636" spans="1:7" x14ac:dyDescent="0.35">
      <c r="A636" s="41">
        <v>635</v>
      </c>
      <c r="B636" s="16" t="s">
        <v>56</v>
      </c>
      <c r="C636" s="16" t="s">
        <v>57</v>
      </c>
      <c r="D636" s="16" t="s">
        <v>60</v>
      </c>
      <c r="E636" s="16">
        <v>93504031</v>
      </c>
      <c r="F636" s="47">
        <v>282</v>
      </c>
      <c r="G636" s="37" t="s">
        <v>9</v>
      </c>
    </row>
    <row r="637" spans="1:7" x14ac:dyDescent="0.35">
      <c r="A637" s="41">
        <v>636</v>
      </c>
      <c r="B637" s="16" t="s">
        <v>56</v>
      </c>
      <c r="C637" s="16" t="s">
        <v>57</v>
      </c>
      <c r="D637" s="16" t="s">
        <v>60</v>
      </c>
      <c r="E637" s="16">
        <v>93504035</v>
      </c>
      <c r="F637" s="47">
        <v>205</v>
      </c>
      <c r="G637" s="37" t="s">
        <v>9</v>
      </c>
    </row>
    <row r="638" spans="1:7" x14ac:dyDescent="0.35">
      <c r="A638" s="41">
        <v>637</v>
      </c>
      <c r="B638" s="16" t="s">
        <v>56</v>
      </c>
      <c r="C638" s="16" t="s">
        <v>57</v>
      </c>
      <c r="D638" s="16" t="s">
        <v>60</v>
      </c>
      <c r="E638" s="16">
        <v>93504036</v>
      </c>
      <c r="F638" s="41">
        <v>209</v>
      </c>
      <c r="G638" s="37" t="s">
        <v>9</v>
      </c>
    </row>
    <row r="639" spans="1:7" x14ac:dyDescent="0.35">
      <c r="A639" s="41">
        <v>638</v>
      </c>
      <c r="B639" s="16" t="s">
        <v>56</v>
      </c>
      <c r="C639" s="16" t="s">
        <v>57</v>
      </c>
      <c r="D639" s="16" t="s">
        <v>60</v>
      </c>
      <c r="E639" s="16">
        <v>93504037</v>
      </c>
      <c r="F639" s="47">
        <v>241</v>
      </c>
      <c r="G639" s="37" t="s">
        <v>9</v>
      </c>
    </row>
    <row r="640" spans="1:7" x14ac:dyDescent="0.35">
      <c r="A640" s="41">
        <v>639</v>
      </c>
      <c r="B640" s="16" t="s">
        <v>56</v>
      </c>
      <c r="C640" s="16" t="s">
        <v>57</v>
      </c>
      <c r="D640" s="16" t="s">
        <v>60</v>
      </c>
      <c r="E640" s="16">
        <v>93504041</v>
      </c>
      <c r="F640" s="47">
        <v>202</v>
      </c>
      <c r="G640" s="37" t="s">
        <v>9</v>
      </c>
    </row>
    <row r="641" spans="1:7" x14ac:dyDescent="0.35">
      <c r="A641" s="41">
        <v>640</v>
      </c>
      <c r="B641" s="16" t="s">
        <v>56</v>
      </c>
      <c r="C641" s="16" t="s">
        <v>57</v>
      </c>
      <c r="D641" s="16" t="s">
        <v>60</v>
      </c>
      <c r="E641" s="16">
        <v>93504042</v>
      </c>
      <c r="F641" s="41">
        <v>200</v>
      </c>
      <c r="G641" s="37" t="s">
        <v>9</v>
      </c>
    </row>
    <row r="642" spans="1:7" x14ac:dyDescent="0.35">
      <c r="A642" s="41">
        <v>641</v>
      </c>
      <c r="B642" s="16" t="s">
        <v>56</v>
      </c>
      <c r="C642" s="16" t="s">
        <v>57</v>
      </c>
      <c r="D642" s="16" t="s">
        <v>60</v>
      </c>
      <c r="E642" s="16">
        <v>93504043</v>
      </c>
      <c r="F642" s="41">
        <v>200</v>
      </c>
      <c r="G642" s="37" t="s">
        <v>9</v>
      </c>
    </row>
    <row r="643" spans="1:7" x14ac:dyDescent="0.35">
      <c r="A643" s="41">
        <v>642</v>
      </c>
      <c r="B643" s="16" t="s">
        <v>56</v>
      </c>
      <c r="C643" s="16" t="s">
        <v>57</v>
      </c>
      <c r="D643" s="16" t="s">
        <v>60</v>
      </c>
      <c r="E643" s="16">
        <v>93504044</v>
      </c>
      <c r="F643" s="41">
        <v>200</v>
      </c>
      <c r="G643" s="37" t="s">
        <v>9</v>
      </c>
    </row>
    <row r="644" spans="1:7" x14ac:dyDescent="0.35">
      <c r="A644" s="41">
        <v>643</v>
      </c>
      <c r="B644" s="16" t="s">
        <v>56</v>
      </c>
      <c r="C644" s="16" t="s">
        <v>57</v>
      </c>
      <c r="D644" s="16" t="s">
        <v>60</v>
      </c>
      <c r="E644" s="16">
        <v>93504045</v>
      </c>
      <c r="F644" s="47">
        <v>203</v>
      </c>
      <c r="G644" s="37" t="s">
        <v>9</v>
      </c>
    </row>
    <row r="645" spans="1:7" x14ac:dyDescent="0.35">
      <c r="A645" s="41">
        <v>644</v>
      </c>
      <c r="B645" s="16" t="s">
        <v>56</v>
      </c>
      <c r="C645" s="16" t="s">
        <v>61</v>
      </c>
      <c r="D645" s="16" t="s">
        <v>339</v>
      </c>
      <c r="E645" s="16">
        <v>93304001</v>
      </c>
      <c r="F645" s="47">
        <v>201</v>
      </c>
      <c r="G645" s="37" t="s">
        <v>9</v>
      </c>
    </row>
    <row r="646" spans="1:7" x14ac:dyDescent="0.35">
      <c r="A646" s="41">
        <v>645</v>
      </c>
      <c r="B646" s="16" t="s">
        <v>56</v>
      </c>
      <c r="C646" s="16" t="s">
        <v>61</v>
      </c>
      <c r="D646" s="16" t="s">
        <v>339</v>
      </c>
      <c r="E646" s="16">
        <v>93304007</v>
      </c>
      <c r="F646" s="47">
        <v>202</v>
      </c>
      <c r="G646" s="37" t="s">
        <v>9</v>
      </c>
    </row>
    <row r="647" spans="1:7" x14ac:dyDescent="0.35">
      <c r="A647" s="41">
        <v>646</v>
      </c>
      <c r="B647" s="16" t="s">
        <v>56</v>
      </c>
      <c r="C647" s="16" t="s">
        <v>61</v>
      </c>
      <c r="D647" s="16" t="s">
        <v>339</v>
      </c>
      <c r="E647" s="16">
        <v>93304010</v>
      </c>
      <c r="F647" s="41">
        <v>218</v>
      </c>
      <c r="G647" s="37" t="s">
        <v>9</v>
      </c>
    </row>
    <row r="648" spans="1:7" x14ac:dyDescent="0.35">
      <c r="A648" s="41">
        <v>647</v>
      </c>
      <c r="B648" s="16" t="s">
        <v>56</v>
      </c>
      <c r="C648" s="16" t="s">
        <v>61</v>
      </c>
      <c r="D648" s="16" t="s">
        <v>339</v>
      </c>
      <c r="E648" s="16">
        <v>93304015</v>
      </c>
      <c r="F648" s="41">
        <v>200</v>
      </c>
      <c r="G648" s="37" t="s">
        <v>9</v>
      </c>
    </row>
    <row r="649" spans="1:7" x14ac:dyDescent="0.35">
      <c r="A649" s="41">
        <v>648</v>
      </c>
      <c r="B649" s="16" t="s">
        <v>56</v>
      </c>
      <c r="C649" s="16" t="s">
        <v>61</v>
      </c>
      <c r="D649" s="16" t="s">
        <v>339</v>
      </c>
      <c r="E649" s="16">
        <v>93304016</v>
      </c>
      <c r="F649" s="41">
        <v>200</v>
      </c>
      <c r="G649" s="37" t="s">
        <v>9</v>
      </c>
    </row>
    <row r="650" spans="1:7" x14ac:dyDescent="0.35">
      <c r="A650" s="41">
        <v>649</v>
      </c>
      <c r="B650" s="16" t="s">
        <v>56</v>
      </c>
      <c r="C650" s="16" t="s">
        <v>61</v>
      </c>
      <c r="D650" s="16" t="s">
        <v>62</v>
      </c>
      <c r="E650" s="16">
        <v>93301001</v>
      </c>
      <c r="F650" s="41">
        <v>200</v>
      </c>
      <c r="G650" s="48" t="s">
        <v>27</v>
      </c>
    </row>
    <row r="651" spans="1:7" x14ac:dyDescent="0.35">
      <c r="A651" s="41">
        <v>650</v>
      </c>
      <c r="B651" s="16" t="s">
        <v>56</v>
      </c>
      <c r="C651" s="16" t="s">
        <v>61</v>
      </c>
      <c r="D651" s="16" t="s">
        <v>62</v>
      </c>
      <c r="E651" s="16">
        <v>93301002</v>
      </c>
      <c r="F651" s="41">
        <v>200</v>
      </c>
      <c r="G651" s="48" t="s">
        <v>27</v>
      </c>
    </row>
    <row r="652" spans="1:7" x14ac:dyDescent="0.35">
      <c r="A652" s="41">
        <v>651</v>
      </c>
      <c r="B652" s="16" t="s">
        <v>56</v>
      </c>
      <c r="C652" s="16" t="s">
        <v>61</v>
      </c>
      <c r="D652" s="16" t="s">
        <v>62</v>
      </c>
      <c r="E652" s="16">
        <v>93301012</v>
      </c>
      <c r="F652" s="41">
        <v>201</v>
      </c>
      <c r="G652" s="37" t="s">
        <v>9</v>
      </c>
    </row>
    <row r="653" spans="1:7" x14ac:dyDescent="0.35">
      <c r="A653" s="41">
        <v>652</v>
      </c>
      <c r="B653" s="16" t="s">
        <v>56</v>
      </c>
      <c r="C653" s="16" t="s">
        <v>61</v>
      </c>
      <c r="D653" s="16" t="s">
        <v>62</v>
      </c>
      <c r="E653" s="16">
        <v>93301015</v>
      </c>
      <c r="F653" s="47">
        <v>212</v>
      </c>
      <c r="G653" s="37" t="s">
        <v>9</v>
      </c>
    </row>
    <row r="654" spans="1:7" x14ac:dyDescent="0.35">
      <c r="A654" s="41">
        <v>653</v>
      </c>
      <c r="B654" s="16" t="s">
        <v>56</v>
      </c>
      <c r="C654" s="16" t="s">
        <v>61</v>
      </c>
      <c r="D654" s="16" t="s">
        <v>62</v>
      </c>
      <c r="E654" s="16">
        <v>93301020</v>
      </c>
      <c r="F654" s="41">
        <v>203</v>
      </c>
      <c r="G654" s="37" t="s">
        <v>9</v>
      </c>
    </row>
    <row r="655" spans="1:7" x14ac:dyDescent="0.35">
      <c r="A655" s="41">
        <v>654</v>
      </c>
      <c r="B655" s="16" t="s">
        <v>56</v>
      </c>
      <c r="C655" s="16" t="s">
        <v>61</v>
      </c>
      <c r="D655" s="16" t="s">
        <v>230</v>
      </c>
      <c r="E655" s="16">
        <v>93302001</v>
      </c>
      <c r="F655" s="47">
        <v>200</v>
      </c>
      <c r="G655" s="48" t="s">
        <v>27</v>
      </c>
    </row>
    <row r="656" spans="1:7" x14ac:dyDescent="0.35">
      <c r="A656" s="41">
        <v>655</v>
      </c>
      <c r="B656" s="16" t="s">
        <v>56</v>
      </c>
      <c r="C656" s="16" t="s">
        <v>61</v>
      </c>
      <c r="D656" s="16" t="s">
        <v>230</v>
      </c>
      <c r="E656" s="16">
        <v>93302003</v>
      </c>
      <c r="F656" s="47">
        <v>225</v>
      </c>
      <c r="G656" s="37" t="s">
        <v>9</v>
      </c>
    </row>
    <row r="657" spans="1:7" x14ac:dyDescent="0.35">
      <c r="A657" s="41">
        <v>656</v>
      </c>
      <c r="B657" s="16" t="s">
        <v>56</v>
      </c>
      <c r="C657" s="16" t="s">
        <v>61</v>
      </c>
      <c r="D657" s="16" t="s">
        <v>230</v>
      </c>
      <c r="E657" s="16">
        <v>93302004</v>
      </c>
      <c r="F657" s="41">
        <v>201</v>
      </c>
      <c r="G657" s="37" t="s">
        <v>9</v>
      </c>
    </row>
    <row r="658" spans="1:7" x14ac:dyDescent="0.35">
      <c r="A658" s="41">
        <v>657</v>
      </c>
      <c r="B658" s="16" t="s">
        <v>56</v>
      </c>
      <c r="C658" s="16" t="s">
        <v>61</v>
      </c>
      <c r="D658" s="16" t="s">
        <v>230</v>
      </c>
      <c r="E658" s="16">
        <v>93302006</v>
      </c>
      <c r="F658" s="41">
        <v>200</v>
      </c>
      <c r="G658" s="37" t="s">
        <v>9</v>
      </c>
    </row>
    <row r="659" spans="1:7" x14ac:dyDescent="0.35">
      <c r="A659" s="41">
        <v>658</v>
      </c>
      <c r="B659" s="16" t="s">
        <v>56</v>
      </c>
      <c r="C659" s="16" t="s">
        <v>61</v>
      </c>
      <c r="D659" s="16" t="s">
        <v>230</v>
      </c>
      <c r="E659" s="16">
        <v>93302017</v>
      </c>
      <c r="F659" s="47">
        <v>200</v>
      </c>
      <c r="G659" s="37" t="s">
        <v>9</v>
      </c>
    </row>
    <row r="660" spans="1:7" x14ac:dyDescent="0.35">
      <c r="A660" s="41">
        <v>659</v>
      </c>
      <c r="B660" s="16" t="s">
        <v>56</v>
      </c>
      <c r="C660" s="16" t="s">
        <v>61</v>
      </c>
      <c r="D660" s="16" t="s">
        <v>230</v>
      </c>
      <c r="E660" s="16">
        <v>93302018</v>
      </c>
      <c r="F660" s="41">
        <v>200</v>
      </c>
      <c r="G660" s="37" t="s">
        <v>9</v>
      </c>
    </row>
    <row r="661" spans="1:7" x14ac:dyDescent="0.35">
      <c r="A661" s="41">
        <v>660</v>
      </c>
      <c r="B661" s="16" t="s">
        <v>56</v>
      </c>
      <c r="C661" s="16" t="s">
        <v>61</v>
      </c>
      <c r="D661" s="16" t="s">
        <v>230</v>
      </c>
      <c r="E661" s="16">
        <v>93302019</v>
      </c>
      <c r="F661" s="47">
        <v>200</v>
      </c>
      <c r="G661" s="37" t="s">
        <v>9</v>
      </c>
    </row>
    <row r="662" spans="1:7" x14ac:dyDescent="0.35">
      <c r="A662" s="41">
        <v>661</v>
      </c>
      <c r="B662" s="16" t="s">
        <v>56</v>
      </c>
      <c r="C662" s="16" t="s">
        <v>61</v>
      </c>
      <c r="D662" s="16" t="s">
        <v>230</v>
      </c>
      <c r="E662" s="16">
        <v>93302024</v>
      </c>
      <c r="F662" s="41">
        <v>208</v>
      </c>
      <c r="G662" s="37" t="s">
        <v>9</v>
      </c>
    </row>
    <row r="663" spans="1:7" x14ac:dyDescent="0.35">
      <c r="A663" s="41">
        <v>662</v>
      </c>
      <c r="B663" s="16" t="s">
        <v>56</v>
      </c>
      <c r="C663" s="16" t="s">
        <v>61</v>
      </c>
      <c r="D663" s="16" t="s">
        <v>230</v>
      </c>
      <c r="E663" s="16">
        <v>93302026</v>
      </c>
      <c r="F663" s="41">
        <v>209</v>
      </c>
      <c r="G663" s="37" t="s">
        <v>9</v>
      </c>
    </row>
    <row r="664" spans="1:7" x14ac:dyDescent="0.35">
      <c r="A664" s="41">
        <v>663</v>
      </c>
      <c r="B664" s="16" t="s">
        <v>56</v>
      </c>
      <c r="C664" s="16" t="s">
        <v>61</v>
      </c>
      <c r="D664" s="16" t="s">
        <v>230</v>
      </c>
      <c r="E664" s="16">
        <v>93302029</v>
      </c>
      <c r="F664" s="47">
        <v>209</v>
      </c>
      <c r="G664" s="37" t="s">
        <v>9</v>
      </c>
    </row>
    <row r="665" spans="1:7" x14ac:dyDescent="0.35">
      <c r="A665" s="41">
        <v>664</v>
      </c>
      <c r="B665" s="16" t="s">
        <v>56</v>
      </c>
      <c r="C665" s="16" t="s">
        <v>61</v>
      </c>
      <c r="D665" s="16" t="s">
        <v>228</v>
      </c>
      <c r="E665" s="16">
        <v>93303006</v>
      </c>
      <c r="F665" s="41">
        <v>200</v>
      </c>
      <c r="G665" s="48" t="s">
        <v>27</v>
      </c>
    </row>
    <row r="666" spans="1:7" x14ac:dyDescent="0.35">
      <c r="A666" s="41">
        <v>665</v>
      </c>
      <c r="B666" s="16" t="s">
        <v>56</v>
      </c>
      <c r="C666" s="16" t="s">
        <v>61</v>
      </c>
      <c r="D666" s="16" t="s">
        <v>228</v>
      </c>
      <c r="E666" s="16">
        <v>93303009</v>
      </c>
      <c r="F666" s="47">
        <v>206</v>
      </c>
      <c r="G666" s="37" t="s">
        <v>9</v>
      </c>
    </row>
    <row r="667" spans="1:7" x14ac:dyDescent="0.35">
      <c r="A667" s="41">
        <v>666</v>
      </c>
      <c r="B667" s="16" t="s">
        <v>56</v>
      </c>
      <c r="C667" s="16" t="s">
        <v>61</v>
      </c>
      <c r="D667" s="16" t="s">
        <v>228</v>
      </c>
      <c r="E667" s="16">
        <v>93303010</v>
      </c>
      <c r="F667" s="41">
        <v>209</v>
      </c>
      <c r="G667" s="37" t="s">
        <v>9</v>
      </c>
    </row>
    <row r="668" spans="1:7" x14ac:dyDescent="0.35">
      <c r="A668" s="41">
        <v>667</v>
      </c>
      <c r="B668" s="16" t="s">
        <v>56</v>
      </c>
      <c r="C668" s="16" t="s">
        <v>61</v>
      </c>
      <c r="D668" s="16" t="s">
        <v>228</v>
      </c>
      <c r="E668" s="16">
        <v>93303024</v>
      </c>
      <c r="F668" s="41">
        <v>202</v>
      </c>
      <c r="G668" s="37" t="s">
        <v>9</v>
      </c>
    </row>
    <row r="669" spans="1:7" x14ac:dyDescent="0.35">
      <c r="A669" s="41">
        <v>668</v>
      </c>
      <c r="B669" s="16" t="s">
        <v>56</v>
      </c>
      <c r="C669" s="16" t="s">
        <v>61</v>
      </c>
      <c r="D669" s="16" t="s">
        <v>228</v>
      </c>
      <c r="E669" s="16">
        <v>93303028</v>
      </c>
      <c r="F669" s="41">
        <v>200</v>
      </c>
      <c r="G669" s="37" t="s">
        <v>9</v>
      </c>
    </row>
    <row r="670" spans="1:7" x14ac:dyDescent="0.35">
      <c r="A670" s="41">
        <v>669</v>
      </c>
      <c r="B670" s="16" t="s">
        <v>56</v>
      </c>
      <c r="C670" s="16" t="s">
        <v>61</v>
      </c>
      <c r="D670" s="16" t="s">
        <v>228</v>
      </c>
      <c r="E670" s="16">
        <v>93303031</v>
      </c>
      <c r="F670" s="47">
        <v>205</v>
      </c>
      <c r="G670" s="37" t="s">
        <v>9</v>
      </c>
    </row>
    <row r="671" spans="1:7" x14ac:dyDescent="0.35">
      <c r="A671" s="41">
        <v>670</v>
      </c>
      <c r="B671" s="16" t="s">
        <v>56</v>
      </c>
      <c r="C671" s="16" t="s">
        <v>61</v>
      </c>
      <c r="D671" s="16" t="s">
        <v>228</v>
      </c>
      <c r="E671" s="16">
        <v>93303032</v>
      </c>
      <c r="F671" s="41">
        <v>207</v>
      </c>
      <c r="G671" s="37" t="s">
        <v>9</v>
      </c>
    </row>
    <row r="672" spans="1:7" x14ac:dyDescent="0.35">
      <c r="A672" s="41">
        <v>671</v>
      </c>
      <c r="B672" s="16" t="s">
        <v>56</v>
      </c>
      <c r="C672" s="16" t="s">
        <v>61</v>
      </c>
      <c r="D672" s="16" t="s">
        <v>228</v>
      </c>
      <c r="E672" s="16">
        <v>93303033</v>
      </c>
      <c r="F672" s="47">
        <v>207</v>
      </c>
      <c r="G672" s="37" t="s">
        <v>9</v>
      </c>
    </row>
    <row r="673" spans="1:7" x14ac:dyDescent="0.35">
      <c r="A673" s="41">
        <v>672</v>
      </c>
      <c r="B673" s="16" t="s">
        <v>56</v>
      </c>
      <c r="C673" s="16" t="s">
        <v>61</v>
      </c>
      <c r="D673" s="16" t="s">
        <v>228</v>
      </c>
      <c r="E673" s="16">
        <v>93303035</v>
      </c>
      <c r="F673" s="47">
        <v>202</v>
      </c>
      <c r="G673" s="37" t="s">
        <v>9</v>
      </c>
    </row>
    <row r="674" spans="1:7" x14ac:dyDescent="0.35">
      <c r="A674" s="41">
        <v>673</v>
      </c>
      <c r="B674" s="16" t="s">
        <v>56</v>
      </c>
      <c r="C674" s="16" t="s">
        <v>61</v>
      </c>
      <c r="D674" s="16" t="s">
        <v>229</v>
      </c>
      <c r="E674" s="16">
        <v>93305004</v>
      </c>
      <c r="F674" s="41">
        <v>212</v>
      </c>
      <c r="G674" s="37" t="s">
        <v>9</v>
      </c>
    </row>
    <row r="675" spans="1:7" x14ac:dyDescent="0.35">
      <c r="A675" s="41">
        <v>674</v>
      </c>
      <c r="B675" s="16" t="s">
        <v>56</v>
      </c>
      <c r="C675" s="16" t="s">
        <v>61</v>
      </c>
      <c r="D675" s="16" t="s">
        <v>229</v>
      </c>
      <c r="E675" s="16">
        <v>93305007</v>
      </c>
      <c r="F675" s="47">
        <v>205</v>
      </c>
      <c r="G675" s="37" t="s">
        <v>9</v>
      </c>
    </row>
    <row r="676" spans="1:7" x14ac:dyDescent="0.35">
      <c r="A676" s="41">
        <v>675</v>
      </c>
      <c r="B676" s="16" t="s">
        <v>56</v>
      </c>
      <c r="C676" s="16" t="s">
        <v>61</v>
      </c>
      <c r="D676" s="16" t="s">
        <v>229</v>
      </c>
      <c r="E676" s="16">
        <v>93305010</v>
      </c>
      <c r="F676" s="41">
        <v>240</v>
      </c>
      <c r="G676" s="37" t="s">
        <v>9</v>
      </c>
    </row>
    <row r="677" spans="1:7" x14ac:dyDescent="0.35">
      <c r="A677" s="41">
        <v>676</v>
      </c>
      <c r="B677" s="16" t="s">
        <v>56</v>
      </c>
      <c r="C677" s="16" t="s">
        <v>61</v>
      </c>
      <c r="D677" s="16" t="s">
        <v>229</v>
      </c>
      <c r="E677" s="16">
        <v>93305012</v>
      </c>
      <c r="F677" s="41">
        <v>213</v>
      </c>
      <c r="G677" s="37" t="s">
        <v>9</v>
      </c>
    </row>
    <row r="678" spans="1:7" x14ac:dyDescent="0.35">
      <c r="A678" s="41">
        <v>677</v>
      </c>
      <c r="B678" s="16" t="s">
        <v>56</v>
      </c>
      <c r="C678" s="16" t="s">
        <v>61</v>
      </c>
      <c r="D678" s="16" t="s">
        <v>229</v>
      </c>
      <c r="E678" s="16">
        <v>93305014</v>
      </c>
      <c r="F678" s="41">
        <v>204</v>
      </c>
      <c r="G678" s="37" t="s">
        <v>9</v>
      </c>
    </row>
    <row r="679" spans="1:7" x14ac:dyDescent="0.35">
      <c r="A679" s="41">
        <v>678</v>
      </c>
      <c r="B679" s="16" t="s">
        <v>56</v>
      </c>
      <c r="C679" s="16" t="s">
        <v>63</v>
      </c>
      <c r="D679" s="16" t="s">
        <v>64</v>
      </c>
      <c r="E679" s="16">
        <v>94702009</v>
      </c>
      <c r="F679" s="47">
        <v>200</v>
      </c>
      <c r="G679" s="37" t="s">
        <v>9</v>
      </c>
    </row>
    <row r="680" spans="1:7" x14ac:dyDescent="0.35">
      <c r="A680" s="41">
        <v>679</v>
      </c>
      <c r="B680" s="16" t="s">
        <v>56</v>
      </c>
      <c r="C680" s="16" t="s">
        <v>63</v>
      </c>
      <c r="D680" s="16" t="s">
        <v>64</v>
      </c>
      <c r="E680" s="16">
        <v>94702014</v>
      </c>
      <c r="F680" s="41">
        <v>219</v>
      </c>
      <c r="G680" s="37" t="s">
        <v>9</v>
      </c>
    </row>
    <row r="681" spans="1:7" x14ac:dyDescent="0.35">
      <c r="A681" s="41">
        <v>680</v>
      </c>
      <c r="B681" s="16" t="s">
        <v>56</v>
      </c>
      <c r="C681" s="16" t="s">
        <v>63</v>
      </c>
      <c r="D681" s="16" t="s">
        <v>64</v>
      </c>
      <c r="E681" s="16">
        <v>94702018</v>
      </c>
      <c r="F681" s="41">
        <v>211</v>
      </c>
      <c r="G681" s="37" t="s">
        <v>9</v>
      </c>
    </row>
    <row r="682" spans="1:7" x14ac:dyDescent="0.35">
      <c r="A682" s="41">
        <v>681</v>
      </c>
      <c r="B682" s="16" t="s">
        <v>56</v>
      </c>
      <c r="C682" s="16" t="s">
        <v>63</v>
      </c>
      <c r="D682" s="16" t="s">
        <v>64</v>
      </c>
      <c r="E682" s="16">
        <v>94702031</v>
      </c>
      <c r="F682" s="47">
        <v>212</v>
      </c>
      <c r="G682" s="37" t="s">
        <v>9</v>
      </c>
    </row>
    <row r="683" spans="1:7" x14ac:dyDescent="0.35">
      <c r="A683" s="41">
        <v>682</v>
      </c>
      <c r="B683" s="16" t="s">
        <v>56</v>
      </c>
      <c r="C683" s="16" t="s">
        <v>63</v>
      </c>
      <c r="D683" s="16" t="s">
        <v>245</v>
      </c>
      <c r="E683" s="16">
        <v>94701009</v>
      </c>
      <c r="F683" s="41">
        <v>200</v>
      </c>
      <c r="G683" s="37" t="s">
        <v>9</v>
      </c>
    </row>
    <row r="684" spans="1:7" x14ac:dyDescent="0.35">
      <c r="A684" s="41">
        <v>683</v>
      </c>
      <c r="B684" s="16" t="s">
        <v>56</v>
      </c>
      <c r="C684" s="16" t="s">
        <v>63</v>
      </c>
      <c r="D684" s="16" t="s">
        <v>244</v>
      </c>
      <c r="E684" s="16">
        <v>94706006</v>
      </c>
      <c r="F684" s="41">
        <v>212</v>
      </c>
      <c r="G684" s="37" t="s">
        <v>9</v>
      </c>
    </row>
    <row r="685" spans="1:7" x14ac:dyDescent="0.35">
      <c r="A685" s="41">
        <v>684</v>
      </c>
      <c r="B685" s="16" t="s">
        <v>56</v>
      </c>
      <c r="C685" s="16" t="s">
        <v>63</v>
      </c>
      <c r="D685" s="16" t="s">
        <v>244</v>
      </c>
      <c r="E685" s="16">
        <v>94706016</v>
      </c>
      <c r="F685" s="41">
        <v>206</v>
      </c>
      <c r="G685" s="37" t="s">
        <v>9</v>
      </c>
    </row>
    <row r="686" spans="1:7" x14ac:dyDescent="0.35">
      <c r="A686" s="41">
        <v>685</v>
      </c>
      <c r="B686" s="16" t="s">
        <v>56</v>
      </c>
      <c r="C686" s="16" t="s">
        <v>63</v>
      </c>
      <c r="D686" s="16" t="s">
        <v>244</v>
      </c>
      <c r="E686" s="16">
        <v>94706017</v>
      </c>
      <c r="F686" s="47">
        <v>205</v>
      </c>
      <c r="G686" s="37" t="s">
        <v>9</v>
      </c>
    </row>
    <row r="687" spans="1:7" x14ac:dyDescent="0.35">
      <c r="A687" s="41">
        <v>686</v>
      </c>
      <c r="B687" s="16" t="s">
        <v>56</v>
      </c>
      <c r="C687" s="16" t="s">
        <v>63</v>
      </c>
      <c r="D687" s="16" t="s">
        <v>244</v>
      </c>
      <c r="E687" s="16">
        <v>94706019</v>
      </c>
      <c r="F687" s="47">
        <v>280</v>
      </c>
      <c r="G687" s="37" t="s">
        <v>9</v>
      </c>
    </row>
    <row r="688" spans="1:7" x14ac:dyDescent="0.35">
      <c r="A688" s="41">
        <v>687</v>
      </c>
      <c r="B688" s="16" t="s">
        <v>56</v>
      </c>
      <c r="C688" s="16" t="s">
        <v>63</v>
      </c>
      <c r="D688" s="16" t="s">
        <v>244</v>
      </c>
      <c r="E688" s="16">
        <v>94706028</v>
      </c>
      <c r="F688" s="41">
        <v>200</v>
      </c>
      <c r="G688" s="37" t="s">
        <v>9</v>
      </c>
    </row>
    <row r="689" spans="1:7" x14ac:dyDescent="0.35">
      <c r="A689" s="41">
        <v>688</v>
      </c>
      <c r="B689" s="16" t="s">
        <v>56</v>
      </c>
      <c r="C689" s="16" t="s">
        <v>63</v>
      </c>
      <c r="D689" s="16" t="s">
        <v>244</v>
      </c>
      <c r="E689" s="16">
        <v>94706034</v>
      </c>
      <c r="F689" s="41">
        <v>203</v>
      </c>
      <c r="G689" s="37" t="s">
        <v>9</v>
      </c>
    </row>
    <row r="690" spans="1:7" x14ac:dyDescent="0.35">
      <c r="A690" s="41">
        <v>689</v>
      </c>
      <c r="B690" s="16" t="s">
        <v>56</v>
      </c>
      <c r="C690" s="16" t="s">
        <v>63</v>
      </c>
      <c r="D690" s="16" t="s">
        <v>244</v>
      </c>
      <c r="E690" s="16">
        <v>94706035</v>
      </c>
      <c r="F690" s="41">
        <v>200</v>
      </c>
      <c r="G690" s="37" t="s">
        <v>9</v>
      </c>
    </row>
    <row r="691" spans="1:7" x14ac:dyDescent="0.35">
      <c r="A691" s="41">
        <v>690</v>
      </c>
      <c r="B691" s="16" t="s">
        <v>56</v>
      </c>
      <c r="C691" s="16" t="s">
        <v>63</v>
      </c>
      <c r="D691" s="16" t="s">
        <v>244</v>
      </c>
      <c r="E691" s="16">
        <v>94706038</v>
      </c>
      <c r="F691" s="41">
        <v>200</v>
      </c>
      <c r="G691" s="37" t="s">
        <v>9</v>
      </c>
    </row>
    <row r="692" spans="1:7" x14ac:dyDescent="0.35">
      <c r="A692" s="41">
        <v>691</v>
      </c>
      <c r="B692" s="16" t="s">
        <v>56</v>
      </c>
      <c r="C692" s="16" t="s">
        <v>63</v>
      </c>
      <c r="D692" s="16" t="s">
        <v>243</v>
      </c>
      <c r="E692" s="16">
        <v>94703001</v>
      </c>
      <c r="F692" s="41">
        <v>200</v>
      </c>
      <c r="G692" s="37" t="s">
        <v>9</v>
      </c>
    </row>
    <row r="693" spans="1:7" x14ac:dyDescent="0.35">
      <c r="A693" s="41">
        <v>692</v>
      </c>
      <c r="B693" s="16" t="s">
        <v>56</v>
      </c>
      <c r="C693" s="16" t="s">
        <v>63</v>
      </c>
      <c r="D693" s="16" t="s">
        <v>243</v>
      </c>
      <c r="E693" s="16">
        <v>94703003</v>
      </c>
      <c r="F693" s="47">
        <v>201</v>
      </c>
      <c r="G693" s="37" t="s">
        <v>9</v>
      </c>
    </row>
    <row r="694" spans="1:7" x14ac:dyDescent="0.35">
      <c r="A694" s="41">
        <v>693</v>
      </c>
      <c r="B694" s="16" t="s">
        <v>56</v>
      </c>
      <c r="C694" s="16" t="s">
        <v>63</v>
      </c>
      <c r="D694" s="16" t="s">
        <v>243</v>
      </c>
      <c r="E694" s="16">
        <v>94703007</v>
      </c>
      <c r="F694" s="47">
        <v>200</v>
      </c>
      <c r="G694" s="37" t="s">
        <v>9</v>
      </c>
    </row>
    <row r="695" spans="1:7" x14ac:dyDescent="0.35">
      <c r="A695" s="41">
        <v>694</v>
      </c>
      <c r="B695" s="16" t="s">
        <v>56</v>
      </c>
      <c r="C695" s="16" t="s">
        <v>63</v>
      </c>
      <c r="D695" s="16" t="s">
        <v>243</v>
      </c>
      <c r="E695" s="16">
        <v>94703011</v>
      </c>
      <c r="F695" s="41">
        <v>200</v>
      </c>
      <c r="G695" s="37" t="s">
        <v>9</v>
      </c>
    </row>
    <row r="696" spans="1:7" x14ac:dyDescent="0.35">
      <c r="A696" s="41">
        <v>695</v>
      </c>
      <c r="B696" s="16" t="s">
        <v>56</v>
      </c>
      <c r="C696" s="16" t="s">
        <v>63</v>
      </c>
      <c r="D696" s="16" t="s">
        <v>243</v>
      </c>
      <c r="E696" s="16">
        <v>94703017</v>
      </c>
      <c r="F696" s="41">
        <v>204</v>
      </c>
      <c r="G696" s="37" t="s">
        <v>9</v>
      </c>
    </row>
    <row r="697" spans="1:7" x14ac:dyDescent="0.35">
      <c r="A697" s="41">
        <v>696</v>
      </c>
      <c r="B697" s="16" t="s">
        <v>56</v>
      </c>
      <c r="C697" s="16" t="s">
        <v>63</v>
      </c>
      <c r="D697" s="16" t="s">
        <v>243</v>
      </c>
      <c r="E697" s="16">
        <v>94703021</v>
      </c>
      <c r="F697" s="41">
        <v>200</v>
      </c>
      <c r="G697" s="37" t="s">
        <v>9</v>
      </c>
    </row>
    <row r="698" spans="1:7" x14ac:dyDescent="0.35">
      <c r="A698" s="41">
        <v>697</v>
      </c>
      <c r="B698" s="16" t="s">
        <v>56</v>
      </c>
      <c r="C698" s="16" t="s">
        <v>63</v>
      </c>
      <c r="D698" s="16" t="s">
        <v>243</v>
      </c>
      <c r="E698" s="16">
        <v>94703030</v>
      </c>
      <c r="F698" s="41">
        <v>215</v>
      </c>
      <c r="G698" s="37" t="s">
        <v>9</v>
      </c>
    </row>
    <row r="699" spans="1:7" x14ac:dyDescent="0.35">
      <c r="A699" s="41">
        <v>698</v>
      </c>
      <c r="B699" s="16" t="s">
        <v>56</v>
      </c>
      <c r="C699" s="16" t="s">
        <v>63</v>
      </c>
      <c r="D699" s="16" t="s">
        <v>243</v>
      </c>
      <c r="E699" s="16">
        <v>94703031</v>
      </c>
      <c r="F699" s="47">
        <v>208</v>
      </c>
      <c r="G699" s="37" t="s">
        <v>9</v>
      </c>
    </row>
    <row r="700" spans="1:7" x14ac:dyDescent="0.35">
      <c r="A700" s="41">
        <v>699</v>
      </c>
      <c r="B700" s="16" t="s">
        <v>56</v>
      </c>
      <c r="C700" s="16" t="s">
        <v>340</v>
      </c>
      <c r="D700" s="16" t="s">
        <v>234</v>
      </c>
      <c r="E700" s="16">
        <v>93405005</v>
      </c>
      <c r="F700" s="47">
        <v>203</v>
      </c>
      <c r="G700" s="48" t="s">
        <v>27</v>
      </c>
    </row>
    <row r="701" spans="1:7" x14ac:dyDescent="0.35">
      <c r="A701" s="41">
        <v>700</v>
      </c>
      <c r="B701" s="16" t="s">
        <v>56</v>
      </c>
      <c r="C701" s="16" t="s">
        <v>340</v>
      </c>
      <c r="D701" s="16" t="s">
        <v>234</v>
      </c>
      <c r="E701" s="16">
        <v>93405017</v>
      </c>
      <c r="F701" s="47">
        <v>201</v>
      </c>
      <c r="G701" s="37" t="s">
        <v>9</v>
      </c>
    </row>
    <row r="702" spans="1:7" x14ac:dyDescent="0.35">
      <c r="A702" s="41">
        <v>701</v>
      </c>
      <c r="B702" s="16" t="s">
        <v>56</v>
      </c>
      <c r="C702" s="16" t="s">
        <v>340</v>
      </c>
      <c r="D702" s="16" t="s">
        <v>234</v>
      </c>
      <c r="E702" s="16">
        <v>93405020</v>
      </c>
      <c r="F702" s="41">
        <v>200</v>
      </c>
      <c r="G702" s="37" t="s">
        <v>9</v>
      </c>
    </row>
    <row r="703" spans="1:7" x14ac:dyDescent="0.35">
      <c r="A703" s="41">
        <v>702</v>
      </c>
      <c r="B703" s="16" t="s">
        <v>56</v>
      </c>
      <c r="C703" s="16" t="s">
        <v>340</v>
      </c>
      <c r="D703" s="16" t="s">
        <v>234</v>
      </c>
      <c r="E703" s="16">
        <v>93405021</v>
      </c>
      <c r="F703" s="47">
        <v>208</v>
      </c>
      <c r="G703" s="37" t="s">
        <v>9</v>
      </c>
    </row>
    <row r="704" spans="1:7" x14ac:dyDescent="0.35">
      <c r="A704" s="41">
        <v>703</v>
      </c>
      <c r="B704" s="16" t="s">
        <v>56</v>
      </c>
      <c r="C704" s="16" t="s">
        <v>340</v>
      </c>
      <c r="D704" s="16" t="s">
        <v>234</v>
      </c>
      <c r="E704" s="16">
        <v>93405023</v>
      </c>
      <c r="F704" s="47">
        <v>202</v>
      </c>
      <c r="G704" s="37" t="s">
        <v>9</v>
      </c>
    </row>
    <row r="705" spans="1:7" x14ac:dyDescent="0.35">
      <c r="A705" s="41">
        <v>704</v>
      </c>
      <c r="B705" s="16" t="s">
        <v>56</v>
      </c>
      <c r="C705" s="16" t="s">
        <v>340</v>
      </c>
      <c r="D705" s="16" t="s">
        <v>234</v>
      </c>
      <c r="E705" s="16">
        <v>93405032</v>
      </c>
      <c r="F705" s="41">
        <v>200</v>
      </c>
      <c r="G705" s="37" t="s">
        <v>9</v>
      </c>
    </row>
    <row r="706" spans="1:7" x14ac:dyDescent="0.35">
      <c r="A706" s="41">
        <v>705</v>
      </c>
      <c r="B706" s="16" t="s">
        <v>56</v>
      </c>
      <c r="C706" s="16" t="s">
        <v>340</v>
      </c>
      <c r="D706" s="16" t="s">
        <v>233</v>
      </c>
      <c r="E706" s="16">
        <v>93404020</v>
      </c>
      <c r="F706" s="41">
        <v>209</v>
      </c>
      <c r="G706" s="37" t="s">
        <v>9</v>
      </c>
    </row>
    <row r="707" spans="1:7" x14ac:dyDescent="0.35">
      <c r="A707" s="41">
        <v>706</v>
      </c>
      <c r="B707" s="16" t="s">
        <v>56</v>
      </c>
      <c r="C707" s="16" t="s">
        <v>340</v>
      </c>
      <c r="D707" s="16" t="s">
        <v>235</v>
      </c>
      <c r="E707" s="16">
        <v>93401003</v>
      </c>
      <c r="F707" s="47">
        <v>205</v>
      </c>
      <c r="G707" s="49" t="s">
        <v>27</v>
      </c>
    </row>
    <row r="708" spans="1:7" x14ac:dyDescent="0.35">
      <c r="A708" s="41">
        <v>707</v>
      </c>
      <c r="B708" s="16" t="s">
        <v>56</v>
      </c>
      <c r="C708" s="16" t="s">
        <v>340</v>
      </c>
      <c r="D708" s="16" t="s">
        <v>232</v>
      </c>
      <c r="E708" s="16">
        <v>93403007</v>
      </c>
      <c r="F708" s="47">
        <v>200</v>
      </c>
      <c r="G708" s="48" t="s">
        <v>27</v>
      </c>
    </row>
    <row r="709" spans="1:7" x14ac:dyDescent="0.35">
      <c r="A709" s="41">
        <v>708</v>
      </c>
      <c r="B709" s="16" t="s">
        <v>56</v>
      </c>
      <c r="C709" s="16" t="s">
        <v>340</v>
      </c>
      <c r="D709" s="16" t="s">
        <v>232</v>
      </c>
      <c r="E709" s="16">
        <v>93403022</v>
      </c>
      <c r="F709" s="41">
        <v>200</v>
      </c>
      <c r="G709" s="37" t="s">
        <v>9</v>
      </c>
    </row>
    <row r="710" spans="1:7" x14ac:dyDescent="0.35">
      <c r="A710" s="41">
        <v>709</v>
      </c>
      <c r="B710" s="16" t="s">
        <v>56</v>
      </c>
      <c r="C710" s="16" t="s">
        <v>340</v>
      </c>
      <c r="D710" s="16" t="s">
        <v>232</v>
      </c>
      <c r="E710" s="16">
        <v>93403023</v>
      </c>
      <c r="F710" s="47">
        <v>203</v>
      </c>
      <c r="G710" s="48" t="s">
        <v>27</v>
      </c>
    </row>
    <row r="711" spans="1:7" x14ac:dyDescent="0.35">
      <c r="A711" s="41">
        <v>710</v>
      </c>
      <c r="B711" s="16" t="s">
        <v>56</v>
      </c>
      <c r="C711" s="16" t="s">
        <v>340</v>
      </c>
      <c r="D711" s="16" t="s">
        <v>232</v>
      </c>
      <c r="E711" s="16">
        <v>93403026</v>
      </c>
      <c r="F711" s="41">
        <v>200</v>
      </c>
      <c r="G711" s="48" t="s">
        <v>27</v>
      </c>
    </row>
    <row r="712" spans="1:7" x14ac:dyDescent="0.35">
      <c r="A712" s="41">
        <v>711</v>
      </c>
      <c r="B712" s="16" t="s">
        <v>56</v>
      </c>
      <c r="C712" s="16" t="s">
        <v>340</v>
      </c>
      <c r="D712" s="16" t="s">
        <v>232</v>
      </c>
      <c r="E712" s="16">
        <v>93403030</v>
      </c>
      <c r="F712" s="41">
        <v>200</v>
      </c>
      <c r="G712" s="48" t="s">
        <v>27</v>
      </c>
    </row>
    <row r="713" spans="1:7" x14ac:dyDescent="0.35">
      <c r="A713" s="41">
        <v>712</v>
      </c>
      <c r="B713" s="16" t="s">
        <v>56</v>
      </c>
      <c r="C713" s="16" t="s">
        <v>340</v>
      </c>
      <c r="D713" s="16" t="s">
        <v>232</v>
      </c>
      <c r="E713" s="16">
        <v>93403036</v>
      </c>
      <c r="F713" s="41">
        <v>229</v>
      </c>
      <c r="G713" s="48" t="s">
        <v>27</v>
      </c>
    </row>
    <row r="714" spans="1:7" x14ac:dyDescent="0.35">
      <c r="A714" s="41">
        <v>713</v>
      </c>
      <c r="B714" s="16" t="s">
        <v>56</v>
      </c>
      <c r="C714" s="16" t="s">
        <v>340</v>
      </c>
      <c r="D714" s="16" t="s">
        <v>232</v>
      </c>
      <c r="E714" s="16">
        <v>93403038</v>
      </c>
      <c r="F714" s="41">
        <v>201</v>
      </c>
      <c r="G714" s="48" t="s">
        <v>27</v>
      </c>
    </row>
    <row r="715" spans="1:7" x14ac:dyDescent="0.35">
      <c r="A715" s="41">
        <v>714</v>
      </c>
      <c r="B715" s="16" t="s">
        <v>56</v>
      </c>
      <c r="C715" s="16" t="s">
        <v>65</v>
      </c>
      <c r="D715" s="16" t="s">
        <v>239</v>
      </c>
      <c r="E715" s="16">
        <v>93602004</v>
      </c>
      <c r="F715" s="41">
        <v>201</v>
      </c>
      <c r="G715" s="37" t="s">
        <v>9</v>
      </c>
    </row>
    <row r="716" spans="1:7" x14ac:dyDescent="0.35">
      <c r="A716" s="41">
        <v>715</v>
      </c>
      <c r="B716" s="16" t="s">
        <v>56</v>
      </c>
      <c r="C716" s="16" t="s">
        <v>65</v>
      </c>
      <c r="D716" s="16" t="s">
        <v>239</v>
      </c>
      <c r="E716" s="16">
        <v>93602007</v>
      </c>
      <c r="F716" s="47">
        <v>202</v>
      </c>
      <c r="G716" s="37" t="s">
        <v>9</v>
      </c>
    </row>
    <row r="717" spans="1:7" x14ac:dyDescent="0.35">
      <c r="A717" s="41">
        <v>716</v>
      </c>
      <c r="B717" s="16" t="s">
        <v>56</v>
      </c>
      <c r="C717" s="16" t="s">
        <v>65</v>
      </c>
      <c r="D717" s="16" t="s">
        <v>239</v>
      </c>
      <c r="E717" s="16">
        <v>93602008</v>
      </c>
      <c r="F717" s="41">
        <v>201</v>
      </c>
      <c r="G717" s="37" t="s">
        <v>9</v>
      </c>
    </row>
    <row r="718" spans="1:7" x14ac:dyDescent="0.35">
      <c r="A718" s="41">
        <v>717</v>
      </c>
      <c r="B718" s="16" t="s">
        <v>56</v>
      </c>
      <c r="C718" s="16" t="s">
        <v>65</v>
      </c>
      <c r="D718" s="16" t="s">
        <v>341</v>
      </c>
      <c r="E718" s="16">
        <v>93608003</v>
      </c>
      <c r="F718" s="47">
        <v>202</v>
      </c>
      <c r="G718" s="37" t="s">
        <v>9</v>
      </c>
    </row>
    <row r="719" spans="1:7" x14ac:dyDescent="0.35">
      <c r="A719" s="41">
        <v>718</v>
      </c>
      <c r="B719" s="16" t="s">
        <v>56</v>
      </c>
      <c r="C719" s="16" t="s">
        <v>65</v>
      </c>
      <c r="D719" s="16" t="s">
        <v>341</v>
      </c>
      <c r="E719" s="16">
        <v>93608014</v>
      </c>
      <c r="F719" s="41">
        <v>211</v>
      </c>
      <c r="G719" s="37" t="s">
        <v>9</v>
      </c>
    </row>
    <row r="720" spans="1:7" x14ac:dyDescent="0.35">
      <c r="A720" s="41">
        <v>719</v>
      </c>
      <c r="B720" s="16" t="s">
        <v>56</v>
      </c>
      <c r="C720" s="16" t="s">
        <v>65</v>
      </c>
      <c r="D720" s="16" t="s">
        <v>66</v>
      </c>
      <c r="E720" s="16">
        <v>93607003</v>
      </c>
      <c r="F720" s="47">
        <v>232</v>
      </c>
      <c r="G720" s="37" t="s">
        <v>9</v>
      </c>
    </row>
    <row r="721" spans="1:7" x14ac:dyDescent="0.35">
      <c r="A721" s="41">
        <v>720</v>
      </c>
      <c r="B721" s="16" t="s">
        <v>56</v>
      </c>
      <c r="C721" s="16" t="s">
        <v>65</v>
      </c>
      <c r="D721" s="16" t="s">
        <v>66</v>
      </c>
      <c r="E721" s="16">
        <v>93607006</v>
      </c>
      <c r="F721" s="41">
        <v>359</v>
      </c>
      <c r="G721" s="37" t="s">
        <v>9</v>
      </c>
    </row>
    <row r="722" spans="1:7" x14ac:dyDescent="0.35">
      <c r="A722" s="41">
        <v>721</v>
      </c>
      <c r="B722" s="16" t="s">
        <v>56</v>
      </c>
      <c r="C722" s="16" t="s">
        <v>65</v>
      </c>
      <c r="D722" s="16" t="s">
        <v>66</v>
      </c>
      <c r="E722" s="16">
        <v>93607007</v>
      </c>
      <c r="F722" s="47">
        <v>200</v>
      </c>
      <c r="G722" s="37" t="s">
        <v>9</v>
      </c>
    </row>
    <row r="723" spans="1:7" x14ac:dyDescent="0.35">
      <c r="A723" s="41">
        <v>722</v>
      </c>
      <c r="B723" s="16" t="s">
        <v>56</v>
      </c>
      <c r="C723" s="16" t="s">
        <v>65</v>
      </c>
      <c r="D723" s="16" t="s">
        <v>66</v>
      </c>
      <c r="E723" s="16">
        <v>93607010</v>
      </c>
      <c r="F723" s="41">
        <v>204</v>
      </c>
      <c r="G723" s="37" t="s">
        <v>9</v>
      </c>
    </row>
    <row r="724" spans="1:7" x14ac:dyDescent="0.35">
      <c r="A724" s="41">
        <v>723</v>
      </c>
      <c r="B724" s="16" t="s">
        <v>56</v>
      </c>
      <c r="C724" s="16" t="s">
        <v>65</v>
      </c>
      <c r="D724" s="16" t="s">
        <v>66</v>
      </c>
      <c r="E724" s="16">
        <v>93607012</v>
      </c>
      <c r="F724" s="41">
        <v>234</v>
      </c>
      <c r="G724" s="37" t="s">
        <v>9</v>
      </c>
    </row>
    <row r="725" spans="1:7" x14ac:dyDescent="0.35">
      <c r="A725" s="41">
        <v>724</v>
      </c>
      <c r="B725" s="16" t="s">
        <v>56</v>
      </c>
      <c r="C725" s="16" t="s">
        <v>65</v>
      </c>
      <c r="D725" s="16" t="s">
        <v>66</v>
      </c>
      <c r="E725" s="16">
        <v>93607014</v>
      </c>
      <c r="F725" s="41">
        <v>200</v>
      </c>
      <c r="G725" s="37" t="s">
        <v>9</v>
      </c>
    </row>
    <row r="726" spans="1:7" x14ac:dyDescent="0.35">
      <c r="A726" s="41">
        <v>725</v>
      </c>
      <c r="B726" s="16" t="s">
        <v>56</v>
      </c>
      <c r="C726" s="16" t="s">
        <v>65</v>
      </c>
      <c r="D726" s="16" t="s">
        <v>66</v>
      </c>
      <c r="E726" s="16">
        <v>93607016</v>
      </c>
      <c r="F726" s="41">
        <v>276</v>
      </c>
      <c r="G726" s="37" t="s">
        <v>9</v>
      </c>
    </row>
    <row r="727" spans="1:7" x14ac:dyDescent="0.35">
      <c r="A727" s="41">
        <v>726</v>
      </c>
      <c r="B727" s="16" t="s">
        <v>56</v>
      </c>
      <c r="C727" s="16" t="s">
        <v>65</v>
      </c>
      <c r="D727" s="16" t="s">
        <v>66</v>
      </c>
      <c r="E727" s="16">
        <v>93607019</v>
      </c>
      <c r="F727" s="47">
        <v>285</v>
      </c>
      <c r="G727" s="37" t="s">
        <v>9</v>
      </c>
    </row>
    <row r="728" spans="1:7" x14ac:dyDescent="0.35">
      <c r="A728" s="41">
        <v>727</v>
      </c>
      <c r="B728" s="16" t="s">
        <v>56</v>
      </c>
      <c r="C728" s="16" t="s">
        <v>65</v>
      </c>
      <c r="D728" s="16" t="s">
        <v>66</v>
      </c>
      <c r="E728" s="16">
        <v>93607021</v>
      </c>
      <c r="F728" s="41">
        <v>200</v>
      </c>
      <c r="G728" s="37" t="s">
        <v>9</v>
      </c>
    </row>
    <row r="729" spans="1:7" x14ac:dyDescent="0.35">
      <c r="A729" s="41">
        <v>728</v>
      </c>
      <c r="B729" s="16" t="s">
        <v>56</v>
      </c>
      <c r="C729" s="16" t="s">
        <v>65</v>
      </c>
      <c r="D729" s="16" t="s">
        <v>66</v>
      </c>
      <c r="E729" s="16">
        <v>93607022</v>
      </c>
      <c r="F729" s="41">
        <v>200</v>
      </c>
      <c r="G729" s="37" t="s">
        <v>9</v>
      </c>
    </row>
    <row r="730" spans="1:7" x14ac:dyDescent="0.35">
      <c r="A730" s="41">
        <v>729</v>
      </c>
      <c r="B730" s="16" t="s">
        <v>56</v>
      </c>
      <c r="C730" s="16" t="s">
        <v>65</v>
      </c>
      <c r="D730" s="16" t="s">
        <v>66</v>
      </c>
      <c r="E730" s="16">
        <v>93607023</v>
      </c>
      <c r="F730" s="41">
        <v>200</v>
      </c>
      <c r="G730" s="37" t="s">
        <v>9</v>
      </c>
    </row>
    <row r="731" spans="1:7" x14ac:dyDescent="0.35">
      <c r="A731" s="41">
        <v>730</v>
      </c>
      <c r="B731" s="16" t="s">
        <v>56</v>
      </c>
      <c r="C731" s="16" t="s">
        <v>65</v>
      </c>
      <c r="D731" s="16" t="s">
        <v>66</v>
      </c>
      <c r="E731" s="16">
        <v>93607024</v>
      </c>
      <c r="F731" s="41">
        <v>200</v>
      </c>
      <c r="G731" s="37" t="s">
        <v>9</v>
      </c>
    </row>
    <row r="732" spans="1:7" x14ac:dyDescent="0.35">
      <c r="A732" s="41">
        <v>731</v>
      </c>
      <c r="B732" s="16" t="s">
        <v>56</v>
      </c>
      <c r="C732" s="16" t="s">
        <v>65</v>
      </c>
      <c r="D732" s="16" t="s">
        <v>66</v>
      </c>
      <c r="E732" s="16">
        <v>93607025</v>
      </c>
      <c r="F732" s="41">
        <v>224</v>
      </c>
      <c r="G732" s="37" t="s">
        <v>9</v>
      </c>
    </row>
    <row r="733" spans="1:7" x14ac:dyDescent="0.35">
      <c r="A733" s="41">
        <v>732</v>
      </c>
      <c r="B733" s="16" t="s">
        <v>56</v>
      </c>
      <c r="C733" s="16" t="s">
        <v>65</v>
      </c>
      <c r="D733" s="16" t="s">
        <v>66</v>
      </c>
      <c r="E733" s="16">
        <v>93607027</v>
      </c>
      <c r="F733" s="47">
        <v>203</v>
      </c>
      <c r="G733" s="37" t="s">
        <v>9</v>
      </c>
    </row>
    <row r="734" spans="1:7" x14ac:dyDescent="0.35">
      <c r="A734" s="41">
        <v>733</v>
      </c>
      <c r="B734" s="16" t="s">
        <v>56</v>
      </c>
      <c r="C734" s="16" t="s">
        <v>65</v>
      </c>
      <c r="D734" s="16" t="s">
        <v>66</v>
      </c>
      <c r="E734" s="16">
        <v>93607028</v>
      </c>
      <c r="F734" s="41">
        <v>201</v>
      </c>
      <c r="G734" s="37" t="s">
        <v>9</v>
      </c>
    </row>
    <row r="735" spans="1:7" x14ac:dyDescent="0.35">
      <c r="A735" s="41">
        <v>734</v>
      </c>
      <c r="B735" s="16" t="s">
        <v>56</v>
      </c>
      <c r="C735" s="16" t="s">
        <v>65</v>
      </c>
      <c r="D735" s="16" t="s">
        <v>66</v>
      </c>
      <c r="E735" s="16">
        <v>93607030</v>
      </c>
      <c r="F735" s="41">
        <v>200</v>
      </c>
      <c r="G735" s="37" t="s">
        <v>9</v>
      </c>
    </row>
    <row r="736" spans="1:7" x14ac:dyDescent="0.35">
      <c r="A736" s="41">
        <v>735</v>
      </c>
      <c r="B736" s="16" t="s">
        <v>56</v>
      </c>
      <c r="C736" s="16" t="s">
        <v>65</v>
      </c>
      <c r="D736" s="16" t="s">
        <v>238</v>
      </c>
      <c r="E736" s="16">
        <v>93601005</v>
      </c>
      <c r="F736" s="47">
        <v>200</v>
      </c>
      <c r="G736" s="37" t="s">
        <v>9</v>
      </c>
    </row>
    <row r="737" spans="1:7" x14ac:dyDescent="0.35">
      <c r="A737" s="41">
        <v>736</v>
      </c>
      <c r="B737" s="16" t="s">
        <v>56</v>
      </c>
      <c r="C737" s="16" t="s">
        <v>65</v>
      </c>
      <c r="D737" s="16" t="s">
        <v>238</v>
      </c>
      <c r="E737" s="16">
        <v>93601008</v>
      </c>
      <c r="F737" s="41">
        <v>201</v>
      </c>
      <c r="G737" s="37" t="s">
        <v>9</v>
      </c>
    </row>
    <row r="738" spans="1:7" x14ac:dyDescent="0.35">
      <c r="A738" s="41">
        <v>737</v>
      </c>
      <c r="B738" s="16" t="s">
        <v>56</v>
      </c>
      <c r="C738" s="16" t="s">
        <v>65</v>
      </c>
      <c r="D738" s="16" t="s">
        <v>238</v>
      </c>
      <c r="E738" s="16">
        <v>93601009</v>
      </c>
      <c r="F738" s="47">
        <v>202</v>
      </c>
      <c r="G738" s="37" t="s">
        <v>9</v>
      </c>
    </row>
    <row r="739" spans="1:7" x14ac:dyDescent="0.35">
      <c r="A739" s="41">
        <v>738</v>
      </c>
      <c r="B739" s="17" t="s">
        <v>67</v>
      </c>
      <c r="C739" s="17" t="s">
        <v>93</v>
      </c>
      <c r="D739" s="17" t="s">
        <v>94</v>
      </c>
      <c r="E739" s="18">
        <v>83205001</v>
      </c>
      <c r="F739" s="19">
        <v>202</v>
      </c>
      <c r="G739" s="20" t="s">
        <v>27</v>
      </c>
    </row>
    <row r="740" spans="1:7" x14ac:dyDescent="0.35">
      <c r="A740" s="41">
        <v>739</v>
      </c>
      <c r="B740" s="17" t="s">
        <v>67</v>
      </c>
      <c r="C740" s="17" t="s">
        <v>93</v>
      </c>
      <c r="D740" s="17" t="s">
        <v>94</v>
      </c>
      <c r="E740" s="18">
        <v>83205002</v>
      </c>
      <c r="F740" s="19">
        <v>201</v>
      </c>
      <c r="G740" s="20" t="s">
        <v>9</v>
      </c>
    </row>
    <row r="741" spans="1:7" x14ac:dyDescent="0.35">
      <c r="A741" s="41">
        <v>740</v>
      </c>
      <c r="B741" s="17" t="s">
        <v>67</v>
      </c>
      <c r="C741" s="17" t="s">
        <v>93</v>
      </c>
      <c r="D741" s="17" t="s">
        <v>94</v>
      </c>
      <c r="E741" s="18">
        <v>83205003</v>
      </c>
      <c r="F741" s="19">
        <v>203</v>
      </c>
      <c r="G741" s="20" t="s">
        <v>9</v>
      </c>
    </row>
    <row r="742" spans="1:7" x14ac:dyDescent="0.35">
      <c r="A742" s="41">
        <v>741</v>
      </c>
      <c r="B742" s="17" t="s">
        <v>67</v>
      </c>
      <c r="C742" s="17" t="s">
        <v>93</v>
      </c>
      <c r="D742" s="17" t="s">
        <v>94</v>
      </c>
      <c r="E742" s="18">
        <v>83205013</v>
      </c>
      <c r="F742" s="19">
        <v>232</v>
      </c>
      <c r="G742" s="20" t="s">
        <v>9</v>
      </c>
    </row>
    <row r="743" spans="1:7" x14ac:dyDescent="0.35">
      <c r="A743" s="41">
        <v>742</v>
      </c>
      <c r="B743" s="17" t="s">
        <v>67</v>
      </c>
      <c r="C743" s="17" t="s">
        <v>93</v>
      </c>
      <c r="D743" s="17" t="s">
        <v>94</v>
      </c>
      <c r="E743" s="18">
        <v>83205023</v>
      </c>
      <c r="F743" s="19">
        <v>205</v>
      </c>
      <c r="G743" s="20" t="s">
        <v>27</v>
      </c>
    </row>
    <row r="744" spans="1:7" x14ac:dyDescent="0.35">
      <c r="A744" s="41">
        <v>743</v>
      </c>
      <c r="B744" s="17" t="s">
        <v>67</v>
      </c>
      <c r="C744" s="17" t="s">
        <v>93</v>
      </c>
      <c r="D744" s="17" t="s">
        <v>94</v>
      </c>
      <c r="E744" s="18">
        <v>83205024</v>
      </c>
      <c r="F744" s="19">
        <v>227</v>
      </c>
      <c r="G744" s="20" t="s">
        <v>9</v>
      </c>
    </row>
    <row r="745" spans="1:7" x14ac:dyDescent="0.35">
      <c r="A745" s="41">
        <v>744</v>
      </c>
      <c r="B745" s="17" t="s">
        <v>67</v>
      </c>
      <c r="C745" s="17" t="s">
        <v>93</v>
      </c>
      <c r="D745" s="17" t="s">
        <v>94</v>
      </c>
      <c r="E745" s="18">
        <v>83205028</v>
      </c>
      <c r="F745" s="19">
        <v>210</v>
      </c>
      <c r="G745" s="20" t="s">
        <v>9</v>
      </c>
    </row>
    <row r="746" spans="1:7" x14ac:dyDescent="0.35">
      <c r="A746" s="41">
        <v>745</v>
      </c>
      <c r="B746" s="17" t="s">
        <v>67</v>
      </c>
      <c r="C746" s="17" t="s">
        <v>93</v>
      </c>
      <c r="D746" s="17" t="s">
        <v>94</v>
      </c>
      <c r="E746" s="18">
        <v>83205029</v>
      </c>
      <c r="F746" s="19">
        <v>209</v>
      </c>
      <c r="G746" s="20" t="s">
        <v>9</v>
      </c>
    </row>
    <row r="747" spans="1:7" x14ac:dyDescent="0.35">
      <c r="A747" s="41">
        <v>746</v>
      </c>
      <c r="B747" s="17" t="s">
        <v>67</v>
      </c>
      <c r="C747" s="17" t="s">
        <v>93</v>
      </c>
      <c r="D747" s="17" t="s">
        <v>94</v>
      </c>
      <c r="E747" s="18">
        <v>83205031</v>
      </c>
      <c r="F747" s="19">
        <v>232</v>
      </c>
      <c r="G747" s="20" t="s">
        <v>9</v>
      </c>
    </row>
    <row r="748" spans="1:7" x14ac:dyDescent="0.35">
      <c r="A748" s="41">
        <v>747</v>
      </c>
      <c r="B748" s="17" t="s">
        <v>67</v>
      </c>
      <c r="C748" s="17" t="s">
        <v>93</v>
      </c>
      <c r="D748" s="17" t="s">
        <v>94</v>
      </c>
      <c r="E748" s="18">
        <v>83205034</v>
      </c>
      <c r="F748" s="19">
        <v>226</v>
      </c>
      <c r="G748" s="20" t="s">
        <v>9</v>
      </c>
    </row>
    <row r="749" spans="1:7" x14ac:dyDescent="0.35">
      <c r="A749" s="41">
        <v>748</v>
      </c>
      <c r="B749" s="17" t="s">
        <v>67</v>
      </c>
      <c r="C749" s="17" t="s">
        <v>93</v>
      </c>
      <c r="D749" s="17" t="s">
        <v>94</v>
      </c>
      <c r="E749" s="18">
        <v>83205036</v>
      </c>
      <c r="F749" s="36">
        <v>215</v>
      </c>
      <c r="G749" s="20" t="s">
        <v>9</v>
      </c>
    </row>
    <row r="750" spans="1:7" x14ac:dyDescent="0.35">
      <c r="A750" s="41">
        <v>749</v>
      </c>
      <c r="B750" s="17" t="s">
        <v>67</v>
      </c>
      <c r="C750" s="17" t="s">
        <v>93</v>
      </c>
      <c r="D750" s="17" t="s">
        <v>94</v>
      </c>
      <c r="E750" s="18">
        <v>83205037</v>
      </c>
      <c r="F750" s="19">
        <v>200</v>
      </c>
      <c r="G750" s="38" t="s">
        <v>27</v>
      </c>
    </row>
    <row r="751" spans="1:7" x14ac:dyDescent="0.35">
      <c r="A751" s="41">
        <v>750</v>
      </c>
      <c r="B751" s="17" t="s">
        <v>67</v>
      </c>
      <c r="C751" s="17" t="s">
        <v>93</v>
      </c>
      <c r="D751" s="17" t="s">
        <v>256</v>
      </c>
      <c r="E751" s="18">
        <v>83201001</v>
      </c>
      <c r="F751" s="19">
        <v>202</v>
      </c>
      <c r="G751" s="38" t="s">
        <v>9</v>
      </c>
    </row>
    <row r="752" spans="1:7" x14ac:dyDescent="0.35">
      <c r="A752" s="41">
        <v>751</v>
      </c>
      <c r="B752" s="17" t="s">
        <v>67</v>
      </c>
      <c r="C752" s="17" t="s">
        <v>93</v>
      </c>
      <c r="D752" s="17" t="s">
        <v>256</v>
      </c>
      <c r="E752" s="18">
        <v>83201004</v>
      </c>
      <c r="F752" s="19">
        <v>201</v>
      </c>
      <c r="G752" s="38" t="s">
        <v>9</v>
      </c>
    </row>
    <row r="753" spans="1:7" x14ac:dyDescent="0.35">
      <c r="A753" s="41">
        <v>752</v>
      </c>
      <c r="B753" s="17" t="s">
        <v>67</v>
      </c>
      <c r="C753" s="17" t="s">
        <v>93</v>
      </c>
      <c r="D753" s="17" t="s">
        <v>256</v>
      </c>
      <c r="E753" s="18">
        <v>83201005</v>
      </c>
      <c r="F753" s="19">
        <v>203</v>
      </c>
      <c r="G753" s="38" t="s">
        <v>9</v>
      </c>
    </row>
    <row r="754" spans="1:7" x14ac:dyDescent="0.35">
      <c r="A754" s="41">
        <v>753</v>
      </c>
      <c r="B754" s="17" t="s">
        <v>67</v>
      </c>
      <c r="C754" s="17" t="s">
        <v>93</v>
      </c>
      <c r="D754" s="17" t="s">
        <v>256</v>
      </c>
      <c r="E754" s="18">
        <v>83201006</v>
      </c>
      <c r="F754" s="19">
        <v>204</v>
      </c>
      <c r="G754" s="38" t="s">
        <v>27</v>
      </c>
    </row>
    <row r="755" spans="1:7" x14ac:dyDescent="0.35">
      <c r="A755" s="41">
        <v>754</v>
      </c>
      <c r="B755" s="17" t="s">
        <v>67</v>
      </c>
      <c r="C755" s="17" t="s">
        <v>68</v>
      </c>
      <c r="D755" s="17" t="s">
        <v>95</v>
      </c>
      <c r="E755" s="18">
        <v>83206003</v>
      </c>
      <c r="F755" s="19">
        <v>211</v>
      </c>
      <c r="G755" s="38" t="s">
        <v>9</v>
      </c>
    </row>
    <row r="756" spans="1:7" x14ac:dyDescent="0.35">
      <c r="A756" s="41">
        <v>755</v>
      </c>
      <c r="B756" s="17" t="s">
        <v>67</v>
      </c>
      <c r="C756" s="17" t="s">
        <v>68</v>
      </c>
      <c r="D756" s="17" t="s">
        <v>95</v>
      </c>
      <c r="E756" s="18">
        <v>83206005</v>
      </c>
      <c r="F756" s="19">
        <v>224</v>
      </c>
      <c r="G756" s="38" t="s">
        <v>9</v>
      </c>
    </row>
    <row r="757" spans="1:7" x14ac:dyDescent="0.35">
      <c r="A757" s="41">
        <v>756</v>
      </c>
      <c r="B757" s="17" t="s">
        <v>67</v>
      </c>
      <c r="C757" s="17" t="s">
        <v>68</v>
      </c>
      <c r="D757" s="17" t="s">
        <v>95</v>
      </c>
      <c r="E757" s="18">
        <v>83206006</v>
      </c>
      <c r="F757" s="19">
        <v>203</v>
      </c>
      <c r="G757" s="38" t="s">
        <v>9</v>
      </c>
    </row>
    <row r="758" spans="1:7" x14ac:dyDescent="0.35">
      <c r="A758" s="41">
        <v>757</v>
      </c>
      <c r="B758" s="17" t="s">
        <v>67</v>
      </c>
      <c r="C758" s="17" t="s">
        <v>68</v>
      </c>
      <c r="D758" s="17" t="s">
        <v>95</v>
      </c>
      <c r="E758" s="18">
        <v>83206012</v>
      </c>
      <c r="F758" s="19">
        <v>200</v>
      </c>
      <c r="G758" s="38" t="s">
        <v>9</v>
      </c>
    </row>
    <row r="759" spans="1:7" x14ac:dyDescent="0.35">
      <c r="A759" s="41">
        <v>758</v>
      </c>
      <c r="B759" s="17" t="s">
        <v>67</v>
      </c>
      <c r="C759" s="17" t="s">
        <v>68</v>
      </c>
      <c r="D759" s="17" t="s">
        <v>95</v>
      </c>
      <c r="E759" s="18">
        <v>83206013</v>
      </c>
      <c r="F759" s="19">
        <v>202</v>
      </c>
      <c r="G759" s="38" t="s">
        <v>9</v>
      </c>
    </row>
    <row r="760" spans="1:7" x14ac:dyDescent="0.35">
      <c r="A760" s="41">
        <v>759</v>
      </c>
      <c r="B760" s="17" t="s">
        <v>67</v>
      </c>
      <c r="C760" s="17" t="s">
        <v>68</v>
      </c>
      <c r="D760" s="17" t="s">
        <v>95</v>
      </c>
      <c r="E760" s="18">
        <v>83206020</v>
      </c>
      <c r="F760" s="19">
        <v>206</v>
      </c>
      <c r="G760" s="38" t="s">
        <v>9</v>
      </c>
    </row>
    <row r="761" spans="1:7" x14ac:dyDescent="0.35">
      <c r="A761" s="41">
        <v>760</v>
      </c>
      <c r="B761" s="17" t="s">
        <v>67</v>
      </c>
      <c r="C761" s="17" t="s">
        <v>68</v>
      </c>
      <c r="D761" s="17" t="s">
        <v>95</v>
      </c>
      <c r="E761" s="18">
        <v>83206024</v>
      </c>
      <c r="F761" s="19">
        <v>210</v>
      </c>
      <c r="G761" s="38" t="s">
        <v>9</v>
      </c>
    </row>
    <row r="762" spans="1:7" x14ac:dyDescent="0.35">
      <c r="A762" s="41">
        <v>761</v>
      </c>
      <c r="B762" s="17" t="s">
        <v>67</v>
      </c>
      <c r="C762" s="17" t="s">
        <v>68</v>
      </c>
      <c r="D762" s="17" t="s">
        <v>95</v>
      </c>
      <c r="E762" s="18">
        <v>83206025</v>
      </c>
      <c r="F762" s="19">
        <v>206</v>
      </c>
      <c r="G762" s="38" t="s">
        <v>9</v>
      </c>
    </row>
    <row r="763" spans="1:7" x14ac:dyDescent="0.35">
      <c r="A763" s="41">
        <v>762</v>
      </c>
      <c r="B763" s="17" t="s">
        <v>67</v>
      </c>
      <c r="C763" s="17" t="s">
        <v>68</v>
      </c>
      <c r="D763" s="17" t="s">
        <v>95</v>
      </c>
      <c r="E763" s="18">
        <v>83206034</v>
      </c>
      <c r="F763" s="19">
        <v>200</v>
      </c>
      <c r="G763" s="38" t="s">
        <v>9</v>
      </c>
    </row>
    <row r="764" spans="1:7" x14ac:dyDescent="0.35">
      <c r="A764" s="41">
        <v>763</v>
      </c>
      <c r="B764" s="17" t="s">
        <v>67</v>
      </c>
      <c r="C764" s="17" t="s">
        <v>68</v>
      </c>
      <c r="D764" s="17" t="s">
        <v>95</v>
      </c>
      <c r="E764" s="18">
        <v>83206037</v>
      </c>
      <c r="F764" s="19">
        <v>216</v>
      </c>
      <c r="G764" s="38" t="s">
        <v>9</v>
      </c>
    </row>
    <row r="765" spans="1:7" x14ac:dyDescent="0.35">
      <c r="A765" s="41">
        <v>764</v>
      </c>
      <c r="B765" s="17" t="s">
        <v>67</v>
      </c>
      <c r="C765" s="17" t="s">
        <v>68</v>
      </c>
      <c r="D765" s="17" t="s">
        <v>95</v>
      </c>
      <c r="E765" s="18">
        <v>83206040</v>
      </c>
      <c r="F765" s="19">
        <v>200</v>
      </c>
      <c r="G765" s="38" t="s">
        <v>9</v>
      </c>
    </row>
    <row r="766" spans="1:7" x14ac:dyDescent="0.35">
      <c r="A766" s="41">
        <v>765</v>
      </c>
      <c r="B766" s="17" t="s">
        <v>67</v>
      </c>
      <c r="C766" s="17" t="s">
        <v>68</v>
      </c>
      <c r="D766" s="17" t="s">
        <v>95</v>
      </c>
      <c r="E766" s="18">
        <v>83206041</v>
      </c>
      <c r="F766" s="19">
        <v>333</v>
      </c>
      <c r="G766" s="38" t="s">
        <v>9</v>
      </c>
    </row>
    <row r="767" spans="1:7" x14ac:dyDescent="0.35">
      <c r="A767" s="41">
        <v>766</v>
      </c>
      <c r="B767" s="17" t="s">
        <v>67</v>
      </c>
      <c r="C767" s="17" t="s">
        <v>68</v>
      </c>
      <c r="D767" s="17" t="s">
        <v>95</v>
      </c>
      <c r="E767" s="18">
        <v>83206044</v>
      </c>
      <c r="F767" s="19">
        <v>201</v>
      </c>
      <c r="G767" s="38" t="s">
        <v>9</v>
      </c>
    </row>
    <row r="768" spans="1:7" x14ac:dyDescent="0.35">
      <c r="A768" s="41">
        <v>767</v>
      </c>
      <c r="B768" s="17" t="s">
        <v>67</v>
      </c>
      <c r="C768" s="17" t="s">
        <v>68</v>
      </c>
      <c r="D768" s="17" t="s">
        <v>95</v>
      </c>
      <c r="E768" s="18">
        <v>83206045</v>
      </c>
      <c r="F768" s="19">
        <v>201</v>
      </c>
      <c r="G768" s="38" t="s">
        <v>9</v>
      </c>
    </row>
    <row r="769" spans="1:7" x14ac:dyDescent="0.35">
      <c r="A769" s="41">
        <v>768</v>
      </c>
      <c r="B769" s="17" t="s">
        <v>67</v>
      </c>
      <c r="C769" s="17" t="s">
        <v>68</v>
      </c>
      <c r="D769" s="17" t="s">
        <v>69</v>
      </c>
      <c r="E769" s="18">
        <v>83204001</v>
      </c>
      <c r="F769" s="19">
        <v>230</v>
      </c>
      <c r="G769" s="38" t="s">
        <v>9</v>
      </c>
    </row>
    <row r="770" spans="1:7" x14ac:dyDescent="0.35">
      <c r="A770" s="41">
        <v>769</v>
      </c>
      <c r="B770" s="17" t="s">
        <v>67</v>
      </c>
      <c r="C770" s="17" t="s">
        <v>68</v>
      </c>
      <c r="D770" s="17" t="s">
        <v>69</v>
      </c>
      <c r="E770" s="18">
        <v>83204003</v>
      </c>
      <c r="F770" s="19">
        <v>202</v>
      </c>
      <c r="G770" s="38" t="s">
        <v>9</v>
      </c>
    </row>
    <row r="771" spans="1:7" x14ac:dyDescent="0.35">
      <c r="A771" s="41">
        <v>770</v>
      </c>
      <c r="B771" s="17" t="s">
        <v>67</v>
      </c>
      <c r="C771" s="17" t="s">
        <v>68</v>
      </c>
      <c r="D771" s="17" t="s">
        <v>69</v>
      </c>
      <c r="E771" s="18">
        <v>83204006</v>
      </c>
      <c r="F771" s="19">
        <v>240</v>
      </c>
      <c r="G771" s="38" t="s">
        <v>9</v>
      </c>
    </row>
    <row r="772" spans="1:7" x14ac:dyDescent="0.35">
      <c r="A772" s="41">
        <v>771</v>
      </c>
      <c r="B772" s="17" t="s">
        <v>67</v>
      </c>
      <c r="C772" s="17" t="s">
        <v>68</v>
      </c>
      <c r="D772" s="17" t="s">
        <v>69</v>
      </c>
      <c r="E772" s="18">
        <v>83204009</v>
      </c>
      <c r="F772" s="19">
        <v>203</v>
      </c>
      <c r="G772" s="38" t="s">
        <v>9</v>
      </c>
    </row>
    <row r="773" spans="1:7" x14ac:dyDescent="0.35">
      <c r="A773" s="41">
        <v>772</v>
      </c>
      <c r="B773" s="17" t="s">
        <v>67</v>
      </c>
      <c r="C773" s="17" t="s">
        <v>68</v>
      </c>
      <c r="D773" s="17" t="s">
        <v>69</v>
      </c>
      <c r="E773" s="18">
        <v>83204011</v>
      </c>
      <c r="F773" s="19">
        <v>318</v>
      </c>
      <c r="G773" s="38" t="s">
        <v>9</v>
      </c>
    </row>
    <row r="774" spans="1:7" x14ac:dyDescent="0.35">
      <c r="A774" s="41">
        <v>773</v>
      </c>
      <c r="B774" s="17" t="s">
        <v>67</v>
      </c>
      <c r="C774" s="17" t="s">
        <v>68</v>
      </c>
      <c r="D774" s="17" t="s">
        <v>69</v>
      </c>
      <c r="E774" s="18">
        <v>83204012</v>
      </c>
      <c r="F774" s="19">
        <v>206</v>
      </c>
      <c r="G774" s="38" t="s">
        <v>9</v>
      </c>
    </row>
    <row r="775" spans="1:7" x14ac:dyDescent="0.35">
      <c r="A775" s="41">
        <v>774</v>
      </c>
      <c r="B775" s="17" t="s">
        <v>67</v>
      </c>
      <c r="C775" s="17" t="s">
        <v>68</v>
      </c>
      <c r="D775" s="17" t="s">
        <v>69</v>
      </c>
      <c r="E775" s="18">
        <v>83204013</v>
      </c>
      <c r="F775" s="19">
        <v>200</v>
      </c>
      <c r="G775" s="38" t="s">
        <v>9</v>
      </c>
    </row>
    <row r="776" spans="1:7" x14ac:dyDescent="0.35">
      <c r="A776" s="41">
        <v>775</v>
      </c>
      <c r="B776" s="17" t="s">
        <v>67</v>
      </c>
      <c r="C776" s="17" t="s">
        <v>68</v>
      </c>
      <c r="D776" s="17" t="s">
        <v>69</v>
      </c>
      <c r="E776" s="18">
        <v>83204016</v>
      </c>
      <c r="F776" s="19">
        <v>227</v>
      </c>
      <c r="G776" s="38" t="s">
        <v>9</v>
      </c>
    </row>
    <row r="777" spans="1:7" x14ac:dyDescent="0.35">
      <c r="A777" s="41">
        <v>776</v>
      </c>
      <c r="B777" s="17" t="s">
        <v>67</v>
      </c>
      <c r="C777" s="17" t="s">
        <v>68</v>
      </c>
      <c r="D777" s="17" t="s">
        <v>69</v>
      </c>
      <c r="E777" s="18">
        <v>83204020</v>
      </c>
      <c r="F777" s="19">
        <v>259</v>
      </c>
      <c r="G777" s="38" t="s">
        <v>9</v>
      </c>
    </row>
    <row r="778" spans="1:7" x14ac:dyDescent="0.35">
      <c r="A778" s="41">
        <v>777</v>
      </c>
      <c r="B778" s="17" t="s">
        <v>67</v>
      </c>
      <c r="C778" s="17" t="s">
        <v>68</v>
      </c>
      <c r="D778" s="17" t="s">
        <v>69</v>
      </c>
      <c r="E778" s="18">
        <v>83204021</v>
      </c>
      <c r="F778" s="19">
        <v>209</v>
      </c>
      <c r="G778" s="38" t="s">
        <v>9</v>
      </c>
    </row>
    <row r="779" spans="1:7" x14ac:dyDescent="0.35">
      <c r="A779" s="41">
        <v>778</v>
      </c>
      <c r="B779" s="17" t="s">
        <v>67</v>
      </c>
      <c r="C779" s="17" t="s">
        <v>68</v>
      </c>
      <c r="D779" s="17" t="s">
        <v>69</v>
      </c>
      <c r="E779" s="18">
        <v>83204024</v>
      </c>
      <c r="F779" s="19">
        <v>263</v>
      </c>
      <c r="G779" s="38" t="s">
        <v>9</v>
      </c>
    </row>
    <row r="780" spans="1:7" x14ac:dyDescent="0.35">
      <c r="A780" s="41">
        <v>779</v>
      </c>
      <c r="B780" s="17" t="s">
        <v>67</v>
      </c>
      <c r="C780" s="17" t="s">
        <v>68</v>
      </c>
      <c r="D780" s="17" t="s">
        <v>69</v>
      </c>
      <c r="E780" s="18">
        <v>83204026</v>
      </c>
      <c r="F780" s="19">
        <v>213</v>
      </c>
      <c r="G780" s="38" t="s">
        <v>9</v>
      </c>
    </row>
    <row r="781" spans="1:7" x14ac:dyDescent="0.35">
      <c r="A781" s="41">
        <v>780</v>
      </c>
      <c r="B781" s="17" t="s">
        <v>67</v>
      </c>
      <c r="C781" s="17" t="s">
        <v>68</v>
      </c>
      <c r="D781" s="17" t="s">
        <v>69</v>
      </c>
      <c r="E781" s="18">
        <v>83204027</v>
      </c>
      <c r="F781" s="19">
        <v>200</v>
      </c>
      <c r="G781" s="38" t="s">
        <v>9</v>
      </c>
    </row>
    <row r="782" spans="1:7" x14ac:dyDescent="0.35">
      <c r="A782" s="41">
        <v>781</v>
      </c>
      <c r="B782" s="17" t="s">
        <v>67</v>
      </c>
      <c r="C782" s="17" t="s">
        <v>68</v>
      </c>
      <c r="D782" s="17" t="s">
        <v>69</v>
      </c>
      <c r="E782" s="18">
        <v>83204033</v>
      </c>
      <c r="F782" s="19">
        <v>209</v>
      </c>
      <c r="G782" s="38" t="s">
        <v>9</v>
      </c>
    </row>
    <row r="783" spans="1:7" x14ac:dyDescent="0.35">
      <c r="A783" s="41">
        <v>782</v>
      </c>
      <c r="B783" s="17" t="s">
        <v>67</v>
      </c>
      <c r="C783" s="17" t="s">
        <v>342</v>
      </c>
      <c r="D783" s="17" t="s">
        <v>70</v>
      </c>
      <c r="E783" s="18">
        <v>83001004</v>
      </c>
      <c r="F783" s="19">
        <v>200</v>
      </c>
      <c r="G783" s="38" t="s">
        <v>9</v>
      </c>
    </row>
    <row r="784" spans="1:7" x14ac:dyDescent="0.35">
      <c r="A784" s="41">
        <v>783</v>
      </c>
      <c r="B784" s="17" t="s">
        <v>67</v>
      </c>
      <c r="C784" s="17" t="s">
        <v>342</v>
      </c>
      <c r="D784" s="17" t="s">
        <v>70</v>
      </c>
      <c r="E784" s="18">
        <v>83001007</v>
      </c>
      <c r="F784" s="19">
        <v>205</v>
      </c>
      <c r="G784" s="38" t="s">
        <v>9</v>
      </c>
    </row>
    <row r="785" spans="1:7" x14ac:dyDescent="0.35">
      <c r="A785" s="41">
        <v>784</v>
      </c>
      <c r="B785" s="17" t="s">
        <v>67</v>
      </c>
      <c r="C785" s="17" t="s">
        <v>342</v>
      </c>
      <c r="D785" s="17" t="s">
        <v>70</v>
      </c>
      <c r="E785" s="18">
        <v>83001009</v>
      </c>
      <c r="F785" s="19">
        <v>231</v>
      </c>
      <c r="G785" s="38" t="s">
        <v>9</v>
      </c>
    </row>
    <row r="786" spans="1:7" x14ac:dyDescent="0.35">
      <c r="A786" s="41">
        <v>785</v>
      </c>
      <c r="B786" s="17" t="s">
        <v>67</v>
      </c>
      <c r="C786" s="17" t="s">
        <v>342</v>
      </c>
      <c r="D786" s="17" t="s">
        <v>70</v>
      </c>
      <c r="E786" s="18">
        <v>83001010</v>
      </c>
      <c r="F786" s="19">
        <v>206</v>
      </c>
      <c r="G786" s="38" t="s">
        <v>9</v>
      </c>
    </row>
    <row r="787" spans="1:7" x14ac:dyDescent="0.35">
      <c r="A787" s="41">
        <v>786</v>
      </c>
      <c r="B787" s="17" t="s">
        <v>67</v>
      </c>
      <c r="C787" s="17" t="s">
        <v>342</v>
      </c>
      <c r="D787" s="17" t="s">
        <v>70</v>
      </c>
      <c r="E787" s="18">
        <v>83001012</v>
      </c>
      <c r="F787" s="19">
        <v>270</v>
      </c>
      <c r="G787" s="38" t="s">
        <v>9</v>
      </c>
    </row>
    <row r="788" spans="1:7" x14ac:dyDescent="0.35">
      <c r="A788" s="41">
        <v>787</v>
      </c>
      <c r="B788" s="17" t="s">
        <v>67</v>
      </c>
      <c r="C788" s="17" t="s">
        <v>342</v>
      </c>
      <c r="D788" s="17" t="s">
        <v>70</v>
      </c>
      <c r="E788" s="18">
        <v>83001018</v>
      </c>
      <c r="F788" s="19">
        <v>206</v>
      </c>
      <c r="G788" s="38" t="s">
        <v>9</v>
      </c>
    </row>
    <row r="789" spans="1:7" x14ac:dyDescent="0.35">
      <c r="A789" s="41">
        <v>788</v>
      </c>
      <c r="B789" s="17" t="s">
        <v>67</v>
      </c>
      <c r="C789" s="17" t="s">
        <v>342</v>
      </c>
      <c r="D789" s="17" t="s">
        <v>386</v>
      </c>
      <c r="E789" s="18">
        <v>83006002</v>
      </c>
      <c r="F789" s="19">
        <v>211</v>
      </c>
      <c r="G789" s="38" t="s">
        <v>9</v>
      </c>
    </row>
    <row r="790" spans="1:7" x14ac:dyDescent="0.35">
      <c r="A790" s="41">
        <v>789</v>
      </c>
      <c r="B790" s="17" t="s">
        <v>67</v>
      </c>
      <c r="C790" s="17" t="s">
        <v>342</v>
      </c>
      <c r="D790" s="17" t="s">
        <v>386</v>
      </c>
      <c r="E790" s="18">
        <v>83006004</v>
      </c>
      <c r="F790" s="19">
        <v>200</v>
      </c>
      <c r="G790" s="38" t="s">
        <v>9</v>
      </c>
    </row>
    <row r="791" spans="1:7" x14ac:dyDescent="0.35">
      <c r="A791" s="41">
        <v>790</v>
      </c>
      <c r="B791" s="17" t="s">
        <v>67</v>
      </c>
      <c r="C791" s="17" t="s">
        <v>342</v>
      </c>
      <c r="D791" s="17" t="s">
        <v>252</v>
      </c>
      <c r="E791" s="18">
        <v>83004006</v>
      </c>
      <c r="F791" s="19">
        <v>200</v>
      </c>
      <c r="G791" s="38" t="s">
        <v>9</v>
      </c>
    </row>
    <row r="792" spans="1:7" x14ac:dyDescent="0.35">
      <c r="A792" s="41">
        <v>791</v>
      </c>
      <c r="B792" s="17" t="s">
        <v>67</v>
      </c>
      <c r="C792" s="17" t="s">
        <v>342</v>
      </c>
      <c r="D792" s="17" t="s">
        <v>343</v>
      </c>
      <c r="E792" s="18">
        <v>83007006</v>
      </c>
      <c r="F792" s="19">
        <v>202</v>
      </c>
      <c r="G792" s="38" t="s">
        <v>27</v>
      </c>
    </row>
    <row r="793" spans="1:7" x14ac:dyDescent="0.35">
      <c r="A793" s="41">
        <v>792</v>
      </c>
      <c r="B793" s="17" t="s">
        <v>67</v>
      </c>
      <c r="C793" s="17" t="s">
        <v>342</v>
      </c>
      <c r="D793" s="17" t="s">
        <v>343</v>
      </c>
      <c r="E793" s="18">
        <v>83007007</v>
      </c>
      <c r="F793" s="19">
        <v>211</v>
      </c>
      <c r="G793" s="38" t="s">
        <v>9</v>
      </c>
    </row>
    <row r="794" spans="1:7" x14ac:dyDescent="0.35">
      <c r="A794" s="41">
        <v>793</v>
      </c>
      <c r="B794" s="17" t="s">
        <v>67</v>
      </c>
      <c r="C794" s="17" t="s">
        <v>342</v>
      </c>
      <c r="D794" s="17" t="s">
        <v>343</v>
      </c>
      <c r="E794" s="18">
        <v>83007008</v>
      </c>
      <c r="F794" s="19">
        <v>204</v>
      </c>
      <c r="G794" s="38" t="s">
        <v>9</v>
      </c>
    </row>
    <row r="795" spans="1:7" x14ac:dyDescent="0.35">
      <c r="A795" s="41">
        <v>794</v>
      </c>
      <c r="B795" s="17" t="s">
        <v>67</v>
      </c>
      <c r="C795" s="17" t="s">
        <v>342</v>
      </c>
      <c r="D795" s="17" t="s">
        <v>343</v>
      </c>
      <c r="E795" s="18">
        <v>83007009</v>
      </c>
      <c r="F795" s="19">
        <v>209</v>
      </c>
      <c r="G795" s="38" t="s">
        <v>9</v>
      </c>
    </row>
    <row r="796" spans="1:7" x14ac:dyDescent="0.35">
      <c r="A796" s="41">
        <v>795</v>
      </c>
      <c r="B796" s="17" t="s">
        <v>67</v>
      </c>
      <c r="C796" s="17" t="s">
        <v>342</v>
      </c>
      <c r="D796" s="17" t="s">
        <v>343</v>
      </c>
      <c r="E796" s="18">
        <v>83007010</v>
      </c>
      <c r="F796" s="19">
        <v>202</v>
      </c>
      <c r="G796" s="38" t="s">
        <v>9</v>
      </c>
    </row>
    <row r="797" spans="1:7" x14ac:dyDescent="0.35">
      <c r="A797" s="41">
        <v>796</v>
      </c>
      <c r="B797" s="17" t="s">
        <v>67</v>
      </c>
      <c r="C797" s="17" t="s">
        <v>342</v>
      </c>
      <c r="D797" s="17" t="s">
        <v>343</v>
      </c>
      <c r="E797" s="18">
        <v>83007011</v>
      </c>
      <c r="F797" s="19">
        <v>203</v>
      </c>
      <c r="G797" s="38" t="s">
        <v>9</v>
      </c>
    </row>
    <row r="798" spans="1:7" x14ac:dyDescent="0.35">
      <c r="A798" s="41">
        <v>797</v>
      </c>
      <c r="B798" s="17" t="s">
        <v>67</v>
      </c>
      <c r="C798" s="17" t="s">
        <v>342</v>
      </c>
      <c r="D798" s="17" t="s">
        <v>343</v>
      </c>
      <c r="E798" s="18">
        <v>83007014</v>
      </c>
      <c r="F798" s="19">
        <v>207</v>
      </c>
      <c r="G798" s="38" t="s">
        <v>9</v>
      </c>
    </row>
    <row r="799" spans="1:7" x14ac:dyDescent="0.35">
      <c r="A799" s="41">
        <v>798</v>
      </c>
      <c r="B799" s="17" t="s">
        <v>67</v>
      </c>
      <c r="C799" s="17" t="s">
        <v>342</v>
      </c>
      <c r="D799" s="17" t="s">
        <v>343</v>
      </c>
      <c r="E799" s="18">
        <v>83007016</v>
      </c>
      <c r="F799" s="19">
        <v>204</v>
      </c>
      <c r="G799" s="38" t="s">
        <v>9</v>
      </c>
    </row>
    <row r="800" spans="1:7" x14ac:dyDescent="0.35">
      <c r="A800" s="41">
        <v>799</v>
      </c>
      <c r="B800" s="17" t="s">
        <v>67</v>
      </c>
      <c r="C800" s="17" t="s">
        <v>342</v>
      </c>
      <c r="D800" s="17" t="s">
        <v>343</v>
      </c>
      <c r="E800" s="18">
        <v>83007017</v>
      </c>
      <c r="F800" s="19">
        <v>203</v>
      </c>
      <c r="G800" s="38" t="s">
        <v>9</v>
      </c>
    </row>
    <row r="801" spans="1:7" x14ac:dyDescent="0.35">
      <c r="A801" s="41">
        <v>800</v>
      </c>
      <c r="B801" s="17" t="s">
        <v>67</v>
      </c>
      <c r="C801" s="17" t="s">
        <v>342</v>
      </c>
      <c r="D801" s="17" t="s">
        <v>343</v>
      </c>
      <c r="E801" s="18">
        <v>83007020</v>
      </c>
      <c r="F801" s="19">
        <v>221</v>
      </c>
      <c r="G801" s="38" t="s">
        <v>27</v>
      </c>
    </row>
    <row r="802" spans="1:7" x14ac:dyDescent="0.35">
      <c r="A802" s="41">
        <v>801</v>
      </c>
      <c r="B802" s="17" t="s">
        <v>67</v>
      </c>
      <c r="C802" s="17" t="s">
        <v>342</v>
      </c>
      <c r="D802" s="17" t="s">
        <v>343</v>
      </c>
      <c r="E802" s="18">
        <v>83007022</v>
      </c>
      <c r="F802" s="19">
        <v>201</v>
      </c>
      <c r="G802" s="38" t="s">
        <v>9</v>
      </c>
    </row>
    <row r="803" spans="1:7" x14ac:dyDescent="0.35">
      <c r="A803" s="41">
        <v>802</v>
      </c>
      <c r="B803" s="17" t="s">
        <v>67</v>
      </c>
      <c r="C803" s="17" t="s">
        <v>342</v>
      </c>
      <c r="D803" s="17" t="s">
        <v>343</v>
      </c>
      <c r="E803" s="18">
        <v>83007023</v>
      </c>
      <c r="F803" s="19">
        <v>202</v>
      </c>
      <c r="G803" s="38" t="s">
        <v>9</v>
      </c>
    </row>
    <row r="804" spans="1:7" x14ac:dyDescent="0.35">
      <c r="A804" s="41">
        <v>803</v>
      </c>
      <c r="B804" s="17" t="s">
        <v>67</v>
      </c>
      <c r="C804" s="17" t="s">
        <v>342</v>
      </c>
      <c r="D804" s="17" t="s">
        <v>343</v>
      </c>
      <c r="E804" s="18">
        <v>83007024</v>
      </c>
      <c r="F804" s="19">
        <v>205</v>
      </c>
      <c r="G804" s="38" t="s">
        <v>9</v>
      </c>
    </row>
    <row r="805" spans="1:7" x14ac:dyDescent="0.35">
      <c r="A805" s="41">
        <v>804</v>
      </c>
      <c r="B805" s="17" t="s">
        <v>67</v>
      </c>
      <c r="C805" s="17" t="s">
        <v>342</v>
      </c>
      <c r="D805" s="17" t="s">
        <v>343</v>
      </c>
      <c r="E805" s="18">
        <v>83007029</v>
      </c>
      <c r="F805" s="19">
        <v>203</v>
      </c>
      <c r="G805" s="38" t="s">
        <v>9</v>
      </c>
    </row>
    <row r="806" spans="1:7" x14ac:dyDescent="0.35">
      <c r="A806" s="41">
        <v>805</v>
      </c>
      <c r="B806" s="17" t="s">
        <v>67</v>
      </c>
      <c r="C806" s="17" t="s">
        <v>342</v>
      </c>
      <c r="D806" s="17" t="s">
        <v>343</v>
      </c>
      <c r="E806" s="18">
        <v>83007032</v>
      </c>
      <c r="F806" s="19">
        <v>206</v>
      </c>
      <c r="G806" s="38" t="s">
        <v>9</v>
      </c>
    </row>
    <row r="807" spans="1:7" x14ac:dyDescent="0.35">
      <c r="A807" s="41">
        <v>806</v>
      </c>
      <c r="B807" s="17" t="s">
        <v>67</v>
      </c>
      <c r="C807" s="17" t="s">
        <v>342</v>
      </c>
      <c r="D807" s="17" t="s">
        <v>387</v>
      </c>
      <c r="E807" s="18">
        <v>83005014</v>
      </c>
      <c r="F807" s="19">
        <v>211</v>
      </c>
      <c r="G807" s="38" t="s">
        <v>9</v>
      </c>
    </row>
    <row r="808" spans="1:7" x14ac:dyDescent="0.35">
      <c r="A808" s="41">
        <v>807</v>
      </c>
      <c r="B808" s="17" t="s">
        <v>67</v>
      </c>
      <c r="C808" s="17" t="s">
        <v>342</v>
      </c>
      <c r="D808" s="17" t="s">
        <v>248</v>
      </c>
      <c r="E808" s="18">
        <v>83002002</v>
      </c>
      <c r="F808" s="19">
        <v>213</v>
      </c>
      <c r="G808" s="38" t="s">
        <v>9</v>
      </c>
    </row>
    <row r="809" spans="1:7" x14ac:dyDescent="0.35">
      <c r="A809" s="41">
        <v>808</v>
      </c>
      <c r="B809" s="17" t="s">
        <v>67</v>
      </c>
      <c r="C809" s="17" t="s">
        <v>342</v>
      </c>
      <c r="D809" s="17" t="s">
        <v>248</v>
      </c>
      <c r="E809" s="18">
        <v>83002003</v>
      </c>
      <c r="F809" s="19">
        <v>208</v>
      </c>
      <c r="G809" s="38" t="s">
        <v>27</v>
      </c>
    </row>
    <row r="810" spans="1:7" x14ac:dyDescent="0.35">
      <c r="A810" s="41">
        <v>809</v>
      </c>
      <c r="B810" s="17" t="s">
        <v>67</v>
      </c>
      <c r="C810" s="17" t="s">
        <v>342</v>
      </c>
      <c r="D810" s="17" t="s">
        <v>248</v>
      </c>
      <c r="E810" s="18">
        <v>83002005</v>
      </c>
      <c r="F810" s="19">
        <v>200</v>
      </c>
      <c r="G810" s="38" t="s">
        <v>9</v>
      </c>
    </row>
    <row r="811" spans="1:7" x14ac:dyDescent="0.35">
      <c r="A811" s="41">
        <v>810</v>
      </c>
      <c r="B811" s="17" t="s">
        <v>67</v>
      </c>
      <c r="C811" s="17" t="s">
        <v>342</v>
      </c>
      <c r="D811" s="17" t="s">
        <v>248</v>
      </c>
      <c r="E811" s="18">
        <v>83002013</v>
      </c>
      <c r="F811" s="19">
        <v>212</v>
      </c>
      <c r="G811" s="38" t="s">
        <v>9</v>
      </c>
    </row>
    <row r="812" spans="1:7" x14ac:dyDescent="0.35">
      <c r="A812" s="41">
        <v>811</v>
      </c>
      <c r="B812" s="17" t="s">
        <v>67</v>
      </c>
      <c r="C812" s="17" t="s">
        <v>342</v>
      </c>
      <c r="D812" s="17" t="s">
        <v>248</v>
      </c>
      <c r="E812" s="18">
        <v>83002017</v>
      </c>
      <c r="F812" s="19">
        <v>200</v>
      </c>
      <c r="G812" s="38" t="s">
        <v>9</v>
      </c>
    </row>
    <row r="813" spans="1:7" x14ac:dyDescent="0.35">
      <c r="A813" s="41">
        <v>812</v>
      </c>
      <c r="B813" s="17" t="s">
        <v>67</v>
      </c>
      <c r="C813" s="17" t="s">
        <v>342</v>
      </c>
      <c r="D813" s="17" t="s">
        <v>248</v>
      </c>
      <c r="E813" s="18">
        <v>83002018</v>
      </c>
      <c r="F813" s="19">
        <v>202</v>
      </c>
      <c r="G813" s="38" t="s">
        <v>9</v>
      </c>
    </row>
    <row r="814" spans="1:7" x14ac:dyDescent="0.35">
      <c r="A814" s="41">
        <v>813</v>
      </c>
      <c r="B814" s="17" t="s">
        <v>67</v>
      </c>
      <c r="C814" s="17" t="s">
        <v>71</v>
      </c>
      <c r="D814" s="17" t="s">
        <v>96</v>
      </c>
      <c r="E814" s="18">
        <v>83106002</v>
      </c>
      <c r="F814" s="19">
        <v>202</v>
      </c>
      <c r="G814" s="38" t="s">
        <v>9</v>
      </c>
    </row>
    <row r="815" spans="1:7" x14ac:dyDescent="0.35">
      <c r="A815" s="41">
        <v>814</v>
      </c>
      <c r="B815" s="17" t="s">
        <v>67</v>
      </c>
      <c r="C815" s="17" t="s">
        <v>71</v>
      </c>
      <c r="D815" s="17" t="s">
        <v>96</v>
      </c>
      <c r="E815" s="18">
        <v>83106003</v>
      </c>
      <c r="F815" s="19">
        <v>207</v>
      </c>
      <c r="G815" s="38" t="s">
        <v>9</v>
      </c>
    </row>
    <row r="816" spans="1:7" x14ac:dyDescent="0.35">
      <c r="A816" s="41">
        <v>815</v>
      </c>
      <c r="B816" s="17" t="s">
        <v>67</v>
      </c>
      <c r="C816" s="17" t="s">
        <v>71</v>
      </c>
      <c r="D816" s="17" t="s">
        <v>96</v>
      </c>
      <c r="E816" s="18">
        <v>83106005</v>
      </c>
      <c r="F816" s="19">
        <v>200</v>
      </c>
      <c r="G816" s="38" t="s">
        <v>9</v>
      </c>
    </row>
    <row r="817" spans="1:7" x14ac:dyDescent="0.35">
      <c r="A817" s="41">
        <v>816</v>
      </c>
      <c r="B817" s="17" t="s">
        <v>67</v>
      </c>
      <c r="C817" s="17" t="s">
        <v>71</v>
      </c>
      <c r="D817" s="17" t="s">
        <v>96</v>
      </c>
      <c r="E817" s="18">
        <v>83106007</v>
      </c>
      <c r="F817" s="19">
        <v>201</v>
      </c>
      <c r="G817" s="38" t="s">
        <v>9</v>
      </c>
    </row>
    <row r="818" spans="1:7" x14ac:dyDescent="0.35">
      <c r="A818" s="41">
        <v>817</v>
      </c>
      <c r="B818" s="17" t="s">
        <v>67</v>
      </c>
      <c r="C818" s="17" t="s">
        <v>71</v>
      </c>
      <c r="D818" s="17" t="s">
        <v>96</v>
      </c>
      <c r="E818" s="18">
        <v>83106011</v>
      </c>
      <c r="F818" s="19">
        <v>200</v>
      </c>
      <c r="G818" s="38" t="s">
        <v>9</v>
      </c>
    </row>
    <row r="819" spans="1:7" x14ac:dyDescent="0.35">
      <c r="A819" s="41">
        <v>818</v>
      </c>
      <c r="B819" s="17" t="s">
        <v>67</v>
      </c>
      <c r="C819" s="17" t="s">
        <v>71</v>
      </c>
      <c r="D819" s="17" t="s">
        <v>96</v>
      </c>
      <c r="E819" s="18">
        <v>83106014</v>
      </c>
      <c r="F819" s="19">
        <v>200</v>
      </c>
      <c r="G819" s="38" t="s">
        <v>9</v>
      </c>
    </row>
    <row r="820" spans="1:7" x14ac:dyDescent="0.35">
      <c r="A820" s="41">
        <v>819</v>
      </c>
      <c r="B820" s="17" t="s">
        <v>67</v>
      </c>
      <c r="C820" s="17" t="s">
        <v>71</v>
      </c>
      <c r="D820" s="17" t="s">
        <v>96</v>
      </c>
      <c r="E820" s="18">
        <v>83106015</v>
      </c>
      <c r="F820" s="19">
        <v>207</v>
      </c>
      <c r="G820" s="38" t="s">
        <v>9</v>
      </c>
    </row>
    <row r="821" spans="1:7" x14ac:dyDescent="0.35">
      <c r="A821" s="41">
        <v>820</v>
      </c>
      <c r="B821" s="17" t="s">
        <v>67</v>
      </c>
      <c r="C821" s="17" t="s">
        <v>71</v>
      </c>
      <c r="D821" s="17" t="s">
        <v>96</v>
      </c>
      <c r="E821" s="18">
        <v>83106017</v>
      </c>
      <c r="F821" s="19">
        <v>205</v>
      </c>
      <c r="G821" s="38" t="s">
        <v>9</v>
      </c>
    </row>
    <row r="822" spans="1:7" x14ac:dyDescent="0.35">
      <c r="A822" s="41">
        <v>821</v>
      </c>
      <c r="B822" s="17" t="s">
        <v>67</v>
      </c>
      <c r="C822" s="17" t="s">
        <v>71</v>
      </c>
      <c r="D822" s="17" t="s">
        <v>96</v>
      </c>
      <c r="E822" s="18">
        <v>83106018</v>
      </c>
      <c r="F822" s="19">
        <v>205</v>
      </c>
      <c r="G822" s="38" t="s">
        <v>9</v>
      </c>
    </row>
    <row r="823" spans="1:7" x14ac:dyDescent="0.35">
      <c r="A823" s="41">
        <v>822</v>
      </c>
      <c r="B823" s="17" t="s">
        <v>67</v>
      </c>
      <c r="C823" s="17" t="s">
        <v>71</v>
      </c>
      <c r="D823" s="17" t="s">
        <v>96</v>
      </c>
      <c r="E823" s="18">
        <v>83106019</v>
      </c>
      <c r="F823" s="19">
        <v>219</v>
      </c>
      <c r="G823" s="38" t="s">
        <v>9</v>
      </c>
    </row>
    <row r="824" spans="1:7" x14ac:dyDescent="0.35">
      <c r="A824" s="41">
        <v>823</v>
      </c>
      <c r="B824" s="17" t="s">
        <v>67</v>
      </c>
      <c r="C824" s="17" t="s">
        <v>71</v>
      </c>
      <c r="D824" s="17" t="s">
        <v>96</v>
      </c>
      <c r="E824" s="18">
        <v>83106020</v>
      </c>
      <c r="F824" s="19">
        <v>201</v>
      </c>
      <c r="G824" s="38" t="s">
        <v>9</v>
      </c>
    </row>
    <row r="825" spans="1:7" x14ac:dyDescent="0.35">
      <c r="A825" s="41">
        <v>824</v>
      </c>
      <c r="B825" s="17" t="s">
        <v>67</v>
      </c>
      <c r="C825" s="17" t="s">
        <v>71</v>
      </c>
      <c r="D825" s="17" t="s">
        <v>96</v>
      </c>
      <c r="E825" s="18">
        <v>83106022</v>
      </c>
      <c r="F825" s="19">
        <v>203</v>
      </c>
      <c r="G825" s="38" t="s">
        <v>9</v>
      </c>
    </row>
    <row r="826" spans="1:7" x14ac:dyDescent="0.35">
      <c r="A826" s="41">
        <v>825</v>
      </c>
      <c r="B826" s="17" t="s">
        <v>67</v>
      </c>
      <c r="C826" s="17" t="s">
        <v>71</v>
      </c>
      <c r="D826" s="17" t="s">
        <v>96</v>
      </c>
      <c r="E826" s="18">
        <v>83106027</v>
      </c>
      <c r="F826" s="19">
        <v>228</v>
      </c>
      <c r="G826" s="38" t="s">
        <v>9</v>
      </c>
    </row>
    <row r="827" spans="1:7" x14ac:dyDescent="0.35">
      <c r="A827" s="41">
        <v>826</v>
      </c>
      <c r="B827" s="17" t="s">
        <v>67</v>
      </c>
      <c r="C827" s="17" t="s">
        <v>71</v>
      </c>
      <c r="D827" s="17" t="s">
        <v>96</v>
      </c>
      <c r="E827" s="18">
        <v>83106030</v>
      </c>
      <c r="F827" s="19">
        <v>201</v>
      </c>
      <c r="G827" s="38" t="s">
        <v>9</v>
      </c>
    </row>
    <row r="828" spans="1:7" x14ac:dyDescent="0.35">
      <c r="A828" s="41">
        <v>827</v>
      </c>
      <c r="B828" s="17" t="s">
        <v>67</v>
      </c>
      <c r="C828" s="17" t="s">
        <v>71</v>
      </c>
      <c r="D828" s="17" t="s">
        <v>254</v>
      </c>
      <c r="E828" s="18">
        <v>83104001</v>
      </c>
      <c r="F828" s="19">
        <v>202</v>
      </c>
      <c r="G828" s="38" t="s">
        <v>9</v>
      </c>
    </row>
    <row r="829" spans="1:7" x14ac:dyDescent="0.35">
      <c r="A829" s="41">
        <v>828</v>
      </c>
      <c r="B829" s="17" t="s">
        <v>67</v>
      </c>
      <c r="C829" s="17" t="s">
        <v>71</v>
      </c>
      <c r="D829" s="17" t="s">
        <v>254</v>
      </c>
      <c r="E829" s="18">
        <v>83104005</v>
      </c>
      <c r="F829" s="19">
        <v>217</v>
      </c>
      <c r="G829" s="38" t="s">
        <v>27</v>
      </c>
    </row>
    <row r="830" spans="1:7" x14ac:dyDescent="0.35">
      <c r="A830" s="41">
        <v>829</v>
      </c>
      <c r="B830" s="17" t="s">
        <v>67</v>
      </c>
      <c r="C830" s="17" t="s">
        <v>71</v>
      </c>
      <c r="D830" s="17" t="s">
        <v>254</v>
      </c>
      <c r="E830" s="18">
        <v>83104006</v>
      </c>
      <c r="F830" s="19">
        <v>206</v>
      </c>
      <c r="G830" s="38" t="s">
        <v>9</v>
      </c>
    </row>
    <row r="831" spans="1:7" x14ac:dyDescent="0.35">
      <c r="A831" s="41">
        <v>830</v>
      </c>
      <c r="B831" s="17" t="s">
        <v>67</v>
      </c>
      <c r="C831" s="17" t="s">
        <v>71</v>
      </c>
      <c r="D831" s="17" t="s">
        <v>72</v>
      </c>
      <c r="E831" s="18">
        <v>83102002</v>
      </c>
      <c r="F831" s="41">
        <v>203</v>
      </c>
      <c r="G831" s="38" t="s">
        <v>9</v>
      </c>
    </row>
    <row r="832" spans="1:7" x14ac:dyDescent="0.35">
      <c r="A832" s="41">
        <v>831</v>
      </c>
      <c r="B832" s="17" t="s">
        <v>67</v>
      </c>
      <c r="C832" s="17" t="s">
        <v>71</v>
      </c>
      <c r="D832" s="17" t="s">
        <v>72</v>
      </c>
      <c r="E832" s="18">
        <v>83102003</v>
      </c>
      <c r="F832" s="47">
        <v>202</v>
      </c>
      <c r="G832" s="38" t="s">
        <v>9</v>
      </c>
    </row>
    <row r="833" spans="1:7" x14ac:dyDescent="0.35">
      <c r="A833" s="41">
        <v>832</v>
      </c>
      <c r="B833" s="17" t="s">
        <v>67</v>
      </c>
      <c r="C833" s="17" t="s">
        <v>71</v>
      </c>
      <c r="D833" s="17" t="s">
        <v>72</v>
      </c>
      <c r="E833" s="18">
        <v>83102005</v>
      </c>
      <c r="F833" s="47">
        <v>201</v>
      </c>
      <c r="G833" s="38" t="s">
        <v>9</v>
      </c>
    </row>
    <row r="834" spans="1:7" x14ac:dyDescent="0.35">
      <c r="A834" s="41">
        <v>833</v>
      </c>
      <c r="B834" s="17" t="s">
        <v>67</v>
      </c>
      <c r="C834" s="17" t="s">
        <v>71</v>
      </c>
      <c r="D834" s="17" t="s">
        <v>72</v>
      </c>
      <c r="E834" s="18">
        <v>83102007</v>
      </c>
      <c r="F834" s="47">
        <v>214</v>
      </c>
      <c r="G834" s="38" t="s">
        <v>9</v>
      </c>
    </row>
    <row r="835" spans="1:7" x14ac:dyDescent="0.35">
      <c r="A835" s="41">
        <v>834</v>
      </c>
      <c r="B835" s="17" t="s">
        <v>67</v>
      </c>
      <c r="C835" s="17" t="s">
        <v>71</v>
      </c>
      <c r="D835" s="17" t="s">
        <v>72</v>
      </c>
      <c r="E835" s="18">
        <v>83102008</v>
      </c>
      <c r="F835" s="41">
        <v>201</v>
      </c>
      <c r="G835" s="38" t="s">
        <v>9</v>
      </c>
    </row>
    <row r="836" spans="1:7" x14ac:dyDescent="0.35">
      <c r="A836" s="41">
        <v>835</v>
      </c>
      <c r="B836" s="17" t="s">
        <v>67</v>
      </c>
      <c r="C836" s="17" t="s">
        <v>71</v>
      </c>
      <c r="D836" s="17" t="s">
        <v>72</v>
      </c>
      <c r="E836" s="18">
        <v>83102010</v>
      </c>
      <c r="F836" s="41">
        <v>242</v>
      </c>
      <c r="G836" s="38" t="s">
        <v>9</v>
      </c>
    </row>
    <row r="837" spans="1:7" x14ac:dyDescent="0.35">
      <c r="A837" s="41">
        <v>836</v>
      </c>
      <c r="B837" s="17" t="s">
        <v>67</v>
      </c>
      <c r="C837" s="17" t="s">
        <v>71</v>
      </c>
      <c r="D837" s="17" t="s">
        <v>72</v>
      </c>
      <c r="E837" s="18">
        <v>83102011</v>
      </c>
      <c r="F837" s="47">
        <v>209</v>
      </c>
      <c r="G837" s="38" t="s">
        <v>9</v>
      </c>
    </row>
    <row r="838" spans="1:7" x14ac:dyDescent="0.35">
      <c r="A838" s="41">
        <v>837</v>
      </c>
      <c r="B838" s="17" t="s">
        <v>67</v>
      </c>
      <c r="C838" s="17" t="s">
        <v>71</v>
      </c>
      <c r="D838" s="17" t="s">
        <v>72</v>
      </c>
      <c r="E838" s="18">
        <v>83102012</v>
      </c>
      <c r="F838" s="41">
        <v>212</v>
      </c>
      <c r="G838" s="38" t="s">
        <v>9</v>
      </c>
    </row>
    <row r="839" spans="1:7" x14ac:dyDescent="0.35">
      <c r="A839" s="41">
        <v>838</v>
      </c>
      <c r="B839" s="17" t="s">
        <v>67</v>
      </c>
      <c r="C839" s="17" t="s">
        <v>71</v>
      </c>
      <c r="D839" s="17" t="s">
        <v>72</v>
      </c>
      <c r="E839" s="18">
        <v>83102013</v>
      </c>
      <c r="F839" s="47">
        <v>200</v>
      </c>
      <c r="G839" s="38" t="s">
        <v>9</v>
      </c>
    </row>
    <row r="840" spans="1:7" x14ac:dyDescent="0.35">
      <c r="A840" s="41">
        <v>839</v>
      </c>
      <c r="B840" s="17" t="s">
        <v>67</v>
      </c>
      <c r="C840" s="17" t="s">
        <v>71</v>
      </c>
      <c r="D840" s="17" t="s">
        <v>72</v>
      </c>
      <c r="E840" s="18">
        <v>83102014</v>
      </c>
      <c r="F840" s="41">
        <v>220</v>
      </c>
      <c r="G840" s="38" t="s">
        <v>9</v>
      </c>
    </row>
    <row r="841" spans="1:7" x14ac:dyDescent="0.35">
      <c r="A841" s="41">
        <v>840</v>
      </c>
      <c r="B841" s="17" t="s">
        <v>67</v>
      </c>
      <c r="C841" s="17" t="s">
        <v>71</v>
      </c>
      <c r="D841" s="17" t="s">
        <v>72</v>
      </c>
      <c r="E841" s="18">
        <v>83102015</v>
      </c>
      <c r="F841" s="47">
        <v>232</v>
      </c>
      <c r="G841" s="38" t="s">
        <v>9</v>
      </c>
    </row>
    <row r="842" spans="1:7" x14ac:dyDescent="0.35">
      <c r="A842" s="41">
        <v>841</v>
      </c>
      <c r="B842" s="17" t="s">
        <v>67</v>
      </c>
      <c r="C842" s="17" t="s">
        <v>71</v>
      </c>
      <c r="D842" s="17" t="s">
        <v>72</v>
      </c>
      <c r="E842" s="18">
        <v>83102019</v>
      </c>
      <c r="F842" s="47">
        <v>229</v>
      </c>
      <c r="G842" s="38" t="s">
        <v>9</v>
      </c>
    </row>
    <row r="843" spans="1:7" x14ac:dyDescent="0.35">
      <c r="A843" s="41">
        <v>842</v>
      </c>
      <c r="B843" s="17" t="s">
        <v>67</v>
      </c>
      <c r="C843" s="17" t="s">
        <v>71</v>
      </c>
      <c r="D843" s="17" t="s">
        <v>72</v>
      </c>
      <c r="E843" s="18">
        <v>83102021</v>
      </c>
      <c r="F843" s="47">
        <v>201</v>
      </c>
      <c r="G843" s="38" t="s">
        <v>9</v>
      </c>
    </row>
    <row r="844" spans="1:7" x14ac:dyDescent="0.35">
      <c r="A844" s="41">
        <v>843</v>
      </c>
      <c r="B844" s="17" t="s">
        <v>67</v>
      </c>
      <c r="C844" s="17" t="s">
        <v>71</v>
      </c>
      <c r="D844" s="17" t="s">
        <v>72</v>
      </c>
      <c r="E844" s="18">
        <v>83102022</v>
      </c>
      <c r="F844" s="41">
        <v>200</v>
      </c>
      <c r="G844" s="38" t="s">
        <v>9</v>
      </c>
    </row>
    <row r="845" spans="1:7" x14ac:dyDescent="0.35">
      <c r="A845" s="41">
        <v>844</v>
      </c>
      <c r="B845" s="17" t="s">
        <v>67</v>
      </c>
      <c r="C845" s="17" t="s">
        <v>71</v>
      </c>
      <c r="D845" s="17" t="s">
        <v>72</v>
      </c>
      <c r="E845" s="18">
        <v>83102023</v>
      </c>
      <c r="F845" s="47">
        <v>203</v>
      </c>
      <c r="G845" s="38" t="s">
        <v>9</v>
      </c>
    </row>
    <row r="846" spans="1:7" x14ac:dyDescent="0.35">
      <c r="A846" s="41">
        <v>845</v>
      </c>
      <c r="B846" s="17" t="s">
        <v>67</v>
      </c>
      <c r="C846" s="17" t="s">
        <v>71</v>
      </c>
      <c r="D846" s="17" t="s">
        <v>72</v>
      </c>
      <c r="E846" s="18">
        <v>83102025</v>
      </c>
      <c r="F846" s="47">
        <v>221</v>
      </c>
      <c r="G846" s="38" t="s">
        <v>9</v>
      </c>
    </row>
    <row r="847" spans="1:7" x14ac:dyDescent="0.35">
      <c r="A847" s="41">
        <v>846</v>
      </c>
      <c r="B847" s="17" t="s">
        <v>67</v>
      </c>
      <c r="C847" s="17" t="s">
        <v>71</v>
      </c>
      <c r="D847" s="17" t="s">
        <v>72</v>
      </c>
      <c r="E847" s="18">
        <v>83102026</v>
      </c>
      <c r="F847" s="41">
        <v>210</v>
      </c>
      <c r="G847" s="38" t="s">
        <v>9</v>
      </c>
    </row>
    <row r="848" spans="1:7" x14ac:dyDescent="0.35">
      <c r="A848" s="41">
        <v>847</v>
      </c>
      <c r="B848" s="17" t="s">
        <v>67</v>
      </c>
      <c r="C848" s="17" t="s">
        <v>71</v>
      </c>
      <c r="D848" s="17" t="s">
        <v>72</v>
      </c>
      <c r="E848" s="18">
        <v>83102028</v>
      </c>
      <c r="F848" s="41">
        <v>203</v>
      </c>
      <c r="G848" s="38" t="s">
        <v>9</v>
      </c>
    </row>
    <row r="849" spans="1:7" x14ac:dyDescent="0.35">
      <c r="A849" s="41">
        <v>848</v>
      </c>
      <c r="B849" s="17" t="s">
        <v>67</v>
      </c>
      <c r="C849" s="17" t="s">
        <v>71</v>
      </c>
      <c r="D849" s="17" t="s">
        <v>72</v>
      </c>
      <c r="E849" s="18">
        <v>83102029</v>
      </c>
      <c r="F849" s="47">
        <v>201</v>
      </c>
      <c r="G849" s="38" t="s">
        <v>9</v>
      </c>
    </row>
    <row r="850" spans="1:7" x14ac:dyDescent="0.35">
      <c r="A850" s="41">
        <v>849</v>
      </c>
      <c r="B850" s="17" t="s">
        <v>67</v>
      </c>
      <c r="C850" s="17" t="s">
        <v>71</v>
      </c>
      <c r="D850" s="17" t="s">
        <v>72</v>
      </c>
      <c r="E850" s="18">
        <v>83102030</v>
      </c>
      <c r="F850" s="41">
        <v>203</v>
      </c>
      <c r="G850" s="38" t="s">
        <v>9</v>
      </c>
    </row>
    <row r="851" spans="1:7" x14ac:dyDescent="0.35">
      <c r="A851" s="41">
        <v>850</v>
      </c>
      <c r="B851" s="17" t="s">
        <v>67</v>
      </c>
      <c r="C851" s="17" t="s">
        <v>71</v>
      </c>
      <c r="D851" s="17" t="s">
        <v>73</v>
      </c>
      <c r="E851" s="18">
        <v>83103003</v>
      </c>
      <c r="F851" s="19">
        <v>203</v>
      </c>
      <c r="G851" s="38" t="s">
        <v>9</v>
      </c>
    </row>
    <row r="852" spans="1:7" x14ac:dyDescent="0.35">
      <c r="A852" s="41">
        <v>851</v>
      </c>
      <c r="B852" s="17" t="s">
        <v>67</v>
      </c>
      <c r="C852" s="17" t="s">
        <v>71</v>
      </c>
      <c r="D852" s="17" t="s">
        <v>73</v>
      </c>
      <c r="E852" s="18">
        <v>83103005</v>
      </c>
      <c r="F852" s="19">
        <v>209</v>
      </c>
      <c r="G852" s="38" t="s">
        <v>9</v>
      </c>
    </row>
    <row r="853" spans="1:7" x14ac:dyDescent="0.35">
      <c r="A853" s="41">
        <v>852</v>
      </c>
      <c r="B853" s="17" t="s">
        <v>67</v>
      </c>
      <c r="C853" s="17" t="s">
        <v>71</v>
      </c>
      <c r="D853" s="17" t="s">
        <v>73</v>
      </c>
      <c r="E853" s="18">
        <v>83103007</v>
      </c>
      <c r="F853" s="19">
        <v>200</v>
      </c>
      <c r="G853" s="38" t="s">
        <v>9</v>
      </c>
    </row>
    <row r="854" spans="1:7" x14ac:dyDescent="0.35">
      <c r="A854" s="41">
        <v>853</v>
      </c>
      <c r="B854" s="17" t="s">
        <v>67</v>
      </c>
      <c r="C854" s="17" t="s">
        <v>71</v>
      </c>
      <c r="D854" s="17" t="s">
        <v>73</v>
      </c>
      <c r="E854" s="18">
        <v>83103025</v>
      </c>
      <c r="F854" s="19">
        <v>224</v>
      </c>
      <c r="G854" s="38" t="s">
        <v>9</v>
      </c>
    </row>
    <row r="855" spans="1:7" x14ac:dyDescent="0.35">
      <c r="A855" s="41">
        <v>854</v>
      </c>
      <c r="B855" s="17" t="s">
        <v>67</v>
      </c>
      <c r="C855" s="17" t="s">
        <v>71</v>
      </c>
      <c r="D855" s="17" t="s">
        <v>73</v>
      </c>
      <c r="E855" s="18">
        <v>83103026</v>
      </c>
      <c r="F855" s="19">
        <v>201</v>
      </c>
      <c r="G855" s="38" t="s">
        <v>9</v>
      </c>
    </row>
    <row r="856" spans="1:7" x14ac:dyDescent="0.35">
      <c r="A856" s="41">
        <v>855</v>
      </c>
      <c r="B856" s="17" t="s">
        <v>67</v>
      </c>
      <c r="C856" s="17" t="s">
        <v>71</v>
      </c>
      <c r="D856" s="17" t="s">
        <v>73</v>
      </c>
      <c r="E856" s="18">
        <v>83103028</v>
      </c>
      <c r="F856" s="19">
        <v>200</v>
      </c>
      <c r="G856" s="38" t="s">
        <v>9</v>
      </c>
    </row>
    <row r="857" spans="1:7" x14ac:dyDescent="0.35">
      <c r="A857" s="41">
        <v>856</v>
      </c>
      <c r="B857" s="17" t="s">
        <v>67</v>
      </c>
      <c r="C857" s="17" t="s">
        <v>71</v>
      </c>
      <c r="D857" s="17" t="s">
        <v>73</v>
      </c>
      <c r="E857" s="18">
        <v>83103029</v>
      </c>
      <c r="F857" s="19">
        <v>210</v>
      </c>
      <c r="G857" s="38" t="s">
        <v>9</v>
      </c>
    </row>
    <row r="858" spans="1:7" x14ac:dyDescent="0.35">
      <c r="A858" s="41">
        <v>857</v>
      </c>
      <c r="B858" s="17" t="s">
        <v>67</v>
      </c>
      <c r="C858" s="17" t="s">
        <v>71</v>
      </c>
      <c r="D858" s="17" t="s">
        <v>253</v>
      </c>
      <c r="E858" s="18">
        <v>83105001</v>
      </c>
      <c r="F858" s="19">
        <v>253</v>
      </c>
      <c r="G858" s="38" t="s">
        <v>9</v>
      </c>
    </row>
    <row r="859" spans="1:7" x14ac:dyDescent="0.35">
      <c r="A859" s="41">
        <v>858</v>
      </c>
      <c r="B859" s="17" t="s">
        <v>67</v>
      </c>
      <c r="C859" s="17" t="s">
        <v>71</v>
      </c>
      <c r="D859" s="17" t="s">
        <v>253</v>
      </c>
      <c r="E859" s="18">
        <v>83105005</v>
      </c>
      <c r="F859" s="19">
        <v>201</v>
      </c>
      <c r="G859" s="39" t="s">
        <v>9</v>
      </c>
    </row>
    <row r="860" spans="1:7" x14ac:dyDescent="0.35">
      <c r="A860" s="41">
        <v>859</v>
      </c>
      <c r="B860" s="17" t="s">
        <v>67</v>
      </c>
      <c r="C860" s="17" t="s">
        <v>71</v>
      </c>
      <c r="D860" s="17" t="s">
        <v>253</v>
      </c>
      <c r="E860" s="18">
        <v>83105008</v>
      </c>
      <c r="F860" s="19">
        <v>200</v>
      </c>
      <c r="G860" s="38" t="s">
        <v>9</v>
      </c>
    </row>
    <row r="861" spans="1:7" x14ac:dyDescent="0.35">
      <c r="A861" s="41">
        <v>860</v>
      </c>
      <c r="B861" s="17" t="s">
        <v>67</v>
      </c>
      <c r="C861" s="17" t="s">
        <v>71</v>
      </c>
      <c r="D861" s="17" t="s">
        <v>253</v>
      </c>
      <c r="E861" s="18">
        <v>83105011</v>
      </c>
      <c r="F861" s="19">
        <v>201</v>
      </c>
      <c r="G861" s="38" t="s">
        <v>9</v>
      </c>
    </row>
    <row r="862" spans="1:7" x14ac:dyDescent="0.35">
      <c r="A862" s="41">
        <v>861</v>
      </c>
      <c r="B862" s="17" t="s">
        <v>67</v>
      </c>
      <c r="C862" s="17" t="s">
        <v>71</v>
      </c>
      <c r="D862" s="17" t="s">
        <v>253</v>
      </c>
      <c r="E862" s="18">
        <v>83105012</v>
      </c>
      <c r="F862" s="19">
        <v>200</v>
      </c>
      <c r="G862" s="38" t="s">
        <v>9</v>
      </c>
    </row>
    <row r="863" spans="1:7" x14ac:dyDescent="0.35">
      <c r="A863" s="41">
        <v>862</v>
      </c>
      <c r="B863" s="17" t="s">
        <v>67</v>
      </c>
      <c r="C863" s="17" t="s">
        <v>71</v>
      </c>
      <c r="D863" s="17" t="s">
        <v>253</v>
      </c>
      <c r="E863" s="18">
        <v>83105017</v>
      </c>
      <c r="F863" s="19">
        <v>207</v>
      </c>
      <c r="G863" s="38" t="s">
        <v>9</v>
      </c>
    </row>
    <row r="864" spans="1:7" x14ac:dyDescent="0.35">
      <c r="A864" s="41">
        <v>863</v>
      </c>
      <c r="B864" s="17" t="s">
        <v>67</v>
      </c>
      <c r="C864" s="17" t="s">
        <v>71</v>
      </c>
      <c r="D864" s="17" t="s">
        <v>253</v>
      </c>
      <c r="E864" s="18">
        <v>83105019</v>
      </c>
      <c r="F864" s="19">
        <v>208</v>
      </c>
      <c r="G864" s="38" t="s">
        <v>9</v>
      </c>
    </row>
    <row r="865" spans="1:7" x14ac:dyDescent="0.35">
      <c r="A865" s="41">
        <v>864</v>
      </c>
      <c r="B865" s="17" t="s">
        <v>67</v>
      </c>
      <c r="C865" s="17" t="s">
        <v>71</v>
      </c>
      <c r="D865" s="17" t="s">
        <v>253</v>
      </c>
      <c r="E865" s="18">
        <v>83105026</v>
      </c>
      <c r="F865" s="19">
        <v>207</v>
      </c>
      <c r="G865" s="38" t="s">
        <v>9</v>
      </c>
    </row>
    <row r="866" spans="1:7" x14ac:dyDescent="0.35">
      <c r="A866" s="41">
        <v>865</v>
      </c>
      <c r="B866" s="17" t="s">
        <v>67</v>
      </c>
      <c r="C866" s="17" t="s">
        <v>71</v>
      </c>
      <c r="D866" s="17" t="s">
        <v>253</v>
      </c>
      <c r="E866" s="18">
        <v>83105028</v>
      </c>
      <c r="F866" s="19">
        <v>207</v>
      </c>
      <c r="G866" s="38" t="s">
        <v>9</v>
      </c>
    </row>
    <row r="867" spans="1:7" x14ac:dyDescent="0.35">
      <c r="A867" s="41">
        <v>866</v>
      </c>
      <c r="B867" s="17" t="s">
        <v>67</v>
      </c>
      <c r="C867" s="17" t="s">
        <v>71</v>
      </c>
      <c r="D867" s="17" t="s">
        <v>253</v>
      </c>
      <c r="E867" s="18">
        <v>83105029</v>
      </c>
      <c r="F867" s="19">
        <v>201</v>
      </c>
      <c r="G867" s="38" t="s">
        <v>9</v>
      </c>
    </row>
    <row r="868" spans="1:7" x14ac:dyDescent="0.35">
      <c r="A868" s="41">
        <v>867</v>
      </c>
      <c r="B868" s="17" t="s">
        <v>67</v>
      </c>
      <c r="C868" s="17" t="s">
        <v>71</v>
      </c>
      <c r="D868" s="17" t="s">
        <v>253</v>
      </c>
      <c r="E868" s="18">
        <v>83105031</v>
      </c>
      <c r="F868" s="19">
        <v>218</v>
      </c>
      <c r="G868" s="38" t="s">
        <v>9</v>
      </c>
    </row>
    <row r="869" spans="1:7" x14ac:dyDescent="0.35">
      <c r="A869" s="41">
        <v>868</v>
      </c>
      <c r="B869" s="17" t="s">
        <v>67</v>
      </c>
      <c r="C869" s="17" t="s">
        <v>71</v>
      </c>
      <c r="D869" s="17" t="s">
        <v>253</v>
      </c>
      <c r="E869" s="18">
        <v>83105032</v>
      </c>
      <c r="F869" s="19">
        <v>204</v>
      </c>
      <c r="G869" s="38" t="s">
        <v>9</v>
      </c>
    </row>
    <row r="870" spans="1:7" x14ac:dyDescent="0.35">
      <c r="A870" s="41">
        <v>869</v>
      </c>
      <c r="B870" s="17" t="s">
        <v>67</v>
      </c>
      <c r="C870" s="17" t="s">
        <v>71</v>
      </c>
      <c r="D870" s="17" t="s">
        <v>255</v>
      </c>
      <c r="E870" s="18">
        <v>83101001</v>
      </c>
      <c r="F870" s="19">
        <v>216</v>
      </c>
      <c r="G870" s="38" t="s">
        <v>9</v>
      </c>
    </row>
    <row r="871" spans="1:7" x14ac:dyDescent="0.35">
      <c r="A871" s="41">
        <v>870</v>
      </c>
      <c r="B871" s="16" t="s">
        <v>49</v>
      </c>
      <c r="C871" s="16" t="s">
        <v>50</v>
      </c>
      <c r="D871" s="16" t="s">
        <v>400</v>
      </c>
      <c r="E871" s="16">
        <v>63704001</v>
      </c>
      <c r="F871" s="47">
        <v>200</v>
      </c>
      <c r="G871" s="38" t="s">
        <v>27</v>
      </c>
    </row>
    <row r="872" spans="1:7" x14ac:dyDescent="0.35">
      <c r="A872" s="41">
        <v>871</v>
      </c>
      <c r="B872" s="16" t="s">
        <v>49</v>
      </c>
      <c r="C872" s="16" t="s">
        <v>50</v>
      </c>
      <c r="D872" s="16" t="s">
        <v>400</v>
      </c>
      <c r="E872" s="16">
        <v>63704004</v>
      </c>
      <c r="F872" s="41">
        <v>203</v>
      </c>
      <c r="G872" s="38" t="s">
        <v>27</v>
      </c>
    </row>
    <row r="873" spans="1:7" x14ac:dyDescent="0.35">
      <c r="A873" s="41">
        <v>872</v>
      </c>
      <c r="B873" s="16" t="s">
        <v>49</v>
      </c>
      <c r="C873" s="16" t="s">
        <v>50</v>
      </c>
      <c r="D873" s="16" t="s">
        <v>400</v>
      </c>
      <c r="E873" s="16">
        <v>63704006</v>
      </c>
      <c r="F873" s="41">
        <v>202</v>
      </c>
      <c r="G873" s="38" t="s">
        <v>27</v>
      </c>
    </row>
    <row r="874" spans="1:7" x14ac:dyDescent="0.35">
      <c r="A874" s="41">
        <v>873</v>
      </c>
      <c r="B874" s="16" t="s">
        <v>49</v>
      </c>
      <c r="C874" s="16" t="s">
        <v>50</v>
      </c>
      <c r="D874" s="16" t="s">
        <v>51</v>
      </c>
      <c r="E874" s="16">
        <v>63702001</v>
      </c>
      <c r="F874" s="47">
        <v>207</v>
      </c>
      <c r="G874" s="38" t="s">
        <v>9</v>
      </c>
    </row>
    <row r="875" spans="1:7" x14ac:dyDescent="0.35">
      <c r="A875" s="41">
        <v>874</v>
      </c>
      <c r="B875" s="16" t="s">
        <v>49</v>
      </c>
      <c r="C875" s="16" t="s">
        <v>50</v>
      </c>
      <c r="D875" s="16" t="s">
        <v>51</v>
      </c>
      <c r="E875" s="16">
        <v>63702002</v>
      </c>
      <c r="F875" s="41">
        <v>204</v>
      </c>
      <c r="G875" s="38" t="s">
        <v>9</v>
      </c>
    </row>
    <row r="876" spans="1:7" x14ac:dyDescent="0.35">
      <c r="A876" s="41">
        <v>875</v>
      </c>
      <c r="B876" s="16" t="s">
        <v>49</v>
      </c>
      <c r="C876" s="16" t="s">
        <v>50</v>
      </c>
      <c r="D876" s="16" t="s">
        <v>51</v>
      </c>
      <c r="E876" s="16">
        <v>63702013</v>
      </c>
      <c r="F876" s="47">
        <v>200</v>
      </c>
      <c r="G876" s="38" t="s">
        <v>9</v>
      </c>
    </row>
    <row r="877" spans="1:7" x14ac:dyDescent="0.35">
      <c r="A877" s="41">
        <v>876</v>
      </c>
      <c r="B877" s="16" t="s">
        <v>49</v>
      </c>
      <c r="C877" s="16" t="s">
        <v>50</v>
      </c>
      <c r="D877" s="16" t="s">
        <v>51</v>
      </c>
      <c r="E877" s="16">
        <v>63702020</v>
      </c>
      <c r="F877" s="41">
        <v>200</v>
      </c>
      <c r="G877" s="38" t="s">
        <v>9</v>
      </c>
    </row>
    <row r="878" spans="1:7" x14ac:dyDescent="0.35">
      <c r="A878" s="41">
        <v>877</v>
      </c>
      <c r="B878" s="16" t="s">
        <v>49</v>
      </c>
      <c r="C878" s="16" t="s">
        <v>50</v>
      </c>
      <c r="D878" s="16" t="s">
        <v>51</v>
      </c>
      <c r="E878" s="16">
        <v>63702021</v>
      </c>
      <c r="F878" s="47">
        <v>202</v>
      </c>
      <c r="G878" s="38" t="s">
        <v>9</v>
      </c>
    </row>
    <row r="879" spans="1:7" x14ac:dyDescent="0.35">
      <c r="A879" s="41">
        <v>878</v>
      </c>
      <c r="B879" s="16" t="s">
        <v>49</v>
      </c>
      <c r="C879" s="16" t="s">
        <v>50</v>
      </c>
      <c r="D879" s="16" t="s">
        <v>51</v>
      </c>
      <c r="E879" s="16">
        <v>63702025</v>
      </c>
      <c r="F879" s="47">
        <v>205</v>
      </c>
      <c r="G879" s="38" t="s">
        <v>9</v>
      </c>
    </row>
    <row r="880" spans="1:7" x14ac:dyDescent="0.35">
      <c r="A880" s="41">
        <v>879</v>
      </c>
      <c r="B880" s="16" t="s">
        <v>49</v>
      </c>
      <c r="C880" s="16" t="s">
        <v>50</v>
      </c>
      <c r="D880" s="16" t="s">
        <v>51</v>
      </c>
      <c r="E880" s="16">
        <v>63702026</v>
      </c>
      <c r="F880" s="41">
        <v>203</v>
      </c>
      <c r="G880" s="38" t="s">
        <v>9</v>
      </c>
    </row>
    <row r="881" spans="1:7" x14ac:dyDescent="0.35">
      <c r="A881" s="41">
        <v>880</v>
      </c>
      <c r="B881" s="16" t="s">
        <v>49</v>
      </c>
      <c r="C881" s="16" t="s">
        <v>50</v>
      </c>
      <c r="D881" s="16" t="s">
        <v>51</v>
      </c>
      <c r="E881" s="16">
        <v>63702027</v>
      </c>
      <c r="F881" s="47">
        <v>495</v>
      </c>
      <c r="G881" s="38" t="s">
        <v>9</v>
      </c>
    </row>
    <row r="882" spans="1:7" x14ac:dyDescent="0.35">
      <c r="A882" s="41">
        <v>881</v>
      </c>
      <c r="B882" s="16" t="s">
        <v>49</v>
      </c>
      <c r="C882" s="16" t="s">
        <v>50</v>
      </c>
      <c r="D882" s="16" t="s">
        <v>51</v>
      </c>
      <c r="E882" s="16">
        <v>63702031</v>
      </c>
      <c r="F882" s="47">
        <v>204</v>
      </c>
      <c r="G882" s="38" t="s">
        <v>9</v>
      </c>
    </row>
    <row r="883" spans="1:7" x14ac:dyDescent="0.35">
      <c r="A883" s="41">
        <v>882</v>
      </c>
      <c r="B883" s="16" t="s">
        <v>49</v>
      </c>
      <c r="C883" s="16" t="s">
        <v>50</v>
      </c>
      <c r="D883" s="16" t="s">
        <v>51</v>
      </c>
      <c r="E883" s="16">
        <v>63702032</v>
      </c>
      <c r="F883" s="41">
        <v>201</v>
      </c>
      <c r="G883" s="38" t="s">
        <v>9</v>
      </c>
    </row>
    <row r="884" spans="1:7" x14ac:dyDescent="0.35">
      <c r="A884" s="41">
        <v>883</v>
      </c>
      <c r="B884" s="16" t="s">
        <v>49</v>
      </c>
      <c r="C884" s="16" t="s">
        <v>50</v>
      </c>
      <c r="D884" s="16" t="s">
        <v>51</v>
      </c>
      <c r="E884" s="16">
        <v>63702037</v>
      </c>
      <c r="F884" s="47">
        <v>202</v>
      </c>
      <c r="G884" s="38" t="s">
        <v>9</v>
      </c>
    </row>
    <row r="885" spans="1:7" x14ac:dyDescent="0.35">
      <c r="A885" s="41">
        <v>884</v>
      </c>
      <c r="B885" s="16" t="s">
        <v>49</v>
      </c>
      <c r="C885" s="16" t="s">
        <v>50</v>
      </c>
      <c r="D885" s="16" t="s">
        <v>258</v>
      </c>
      <c r="E885" s="16">
        <v>63701002</v>
      </c>
      <c r="F885" s="41">
        <v>201</v>
      </c>
      <c r="G885" s="38" t="s">
        <v>27</v>
      </c>
    </row>
    <row r="886" spans="1:7" x14ac:dyDescent="0.35">
      <c r="A886" s="41">
        <v>885</v>
      </c>
      <c r="B886" s="16" t="s">
        <v>49</v>
      </c>
      <c r="C886" s="16" t="s">
        <v>50</v>
      </c>
      <c r="D886" s="16" t="s">
        <v>258</v>
      </c>
      <c r="E886" s="16">
        <v>63701010</v>
      </c>
      <c r="F886" s="41">
        <v>202</v>
      </c>
      <c r="G886" s="38" t="s">
        <v>9</v>
      </c>
    </row>
    <row r="887" spans="1:7" x14ac:dyDescent="0.35">
      <c r="A887" s="41">
        <v>886</v>
      </c>
      <c r="B887" s="16" t="s">
        <v>49</v>
      </c>
      <c r="C887" s="16" t="s">
        <v>50</v>
      </c>
      <c r="D887" s="16" t="s">
        <v>258</v>
      </c>
      <c r="E887" s="16">
        <v>63701012</v>
      </c>
      <c r="F887" s="41">
        <v>212</v>
      </c>
      <c r="G887" s="38" t="s">
        <v>9</v>
      </c>
    </row>
    <row r="888" spans="1:7" x14ac:dyDescent="0.35">
      <c r="A888" s="41">
        <v>887</v>
      </c>
      <c r="B888" s="16" t="s">
        <v>49</v>
      </c>
      <c r="C888" s="16" t="s">
        <v>50</v>
      </c>
      <c r="D888" s="16" t="s">
        <v>258</v>
      </c>
      <c r="E888" s="16">
        <v>63701014</v>
      </c>
      <c r="F888" s="41">
        <v>200</v>
      </c>
      <c r="G888" s="38" t="s">
        <v>9</v>
      </c>
    </row>
    <row r="889" spans="1:7" x14ac:dyDescent="0.35">
      <c r="A889" s="41">
        <v>888</v>
      </c>
      <c r="B889" s="16" t="s">
        <v>49</v>
      </c>
      <c r="C889" s="16" t="s">
        <v>50</v>
      </c>
      <c r="D889" s="16" t="s">
        <v>258</v>
      </c>
      <c r="E889" s="16">
        <v>63701015</v>
      </c>
      <c r="F889" s="47">
        <v>200</v>
      </c>
      <c r="G889" s="38" t="s">
        <v>9</v>
      </c>
    </row>
    <row r="890" spans="1:7" x14ac:dyDescent="0.35">
      <c r="A890" s="41">
        <v>889</v>
      </c>
      <c r="B890" s="16" t="s">
        <v>49</v>
      </c>
      <c r="C890" s="16" t="s">
        <v>50</v>
      </c>
      <c r="D890" s="16" t="s">
        <v>258</v>
      </c>
      <c r="E890" s="16">
        <v>63701016</v>
      </c>
      <c r="F890" s="41">
        <v>200</v>
      </c>
      <c r="G890" s="38" t="s">
        <v>9</v>
      </c>
    </row>
    <row r="891" spans="1:7" x14ac:dyDescent="0.35">
      <c r="A891" s="41">
        <v>890</v>
      </c>
      <c r="B891" s="16" t="s">
        <v>49</v>
      </c>
      <c r="C891" s="16" t="s">
        <v>50</v>
      </c>
      <c r="D891" s="16" t="s">
        <v>258</v>
      </c>
      <c r="E891" s="16">
        <v>63701020</v>
      </c>
      <c r="F891" s="41">
        <v>200</v>
      </c>
      <c r="G891" s="38" t="s">
        <v>9</v>
      </c>
    </row>
    <row r="892" spans="1:7" x14ac:dyDescent="0.35">
      <c r="A892" s="41">
        <v>891</v>
      </c>
      <c r="B892" s="16" t="s">
        <v>49</v>
      </c>
      <c r="C892" s="16" t="s">
        <v>50</v>
      </c>
      <c r="D892" s="16" t="s">
        <v>258</v>
      </c>
      <c r="E892" s="16">
        <v>63701022</v>
      </c>
      <c r="F892" s="41">
        <v>200</v>
      </c>
      <c r="G892" s="38" t="s">
        <v>9</v>
      </c>
    </row>
    <row r="893" spans="1:7" x14ac:dyDescent="0.35">
      <c r="A893" s="41">
        <v>892</v>
      </c>
      <c r="B893" s="16" t="s">
        <v>49</v>
      </c>
      <c r="C893" s="16" t="s">
        <v>50</v>
      </c>
      <c r="D893" s="16" t="s">
        <v>258</v>
      </c>
      <c r="E893" s="16">
        <v>63701025</v>
      </c>
      <c r="F893" s="47">
        <v>200</v>
      </c>
      <c r="G893" s="38" t="s">
        <v>9</v>
      </c>
    </row>
    <row r="894" spans="1:7" x14ac:dyDescent="0.35">
      <c r="A894" s="41">
        <v>893</v>
      </c>
      <c r="B894" s="16" t="s">
        <v>49</v>
      </c>
      <c r="C894" s="16" t="s">
        <v>50</v>
      </c>
      <c r="D894" s="16" t="s">
        <v>258</v>
      </c>
      <c r="E894" s="16">
        <v>63701026</v>
      </c>
      <c r="F894" s="41">
        <v>203</v>
      </c>
      <c r="G894" s="38" t="s">
        <v>9</v>
      </c>
    </row>
    <row r="895" spans="1:7" x14ac:dyDescent="0.35">
      <c r="A895" s="41">
        <v>894</v>
      </c>
      <c r="B895" s="16" t="s">
        <v>49</v>
      </c>
      <c r="C895" s="16" t="s">
        <v>50</v>
      </c>
      <c r="D895" s="16" t="s">
        <v>52</v>
      </c>
      <c r="E895" s="16">
        <v>63705002</v>
      </c>
      <c r="F895" s="41">
        <v>582</v>
      </c>
      <c r="G895" s="38" t="s">
        <v>9</v>
      </c>
    </row>
    <row r="896" spans="1:7" x14ac:dyDescent="0.35">
      <c r="A896" s="41">
        <v>895</v>
      </c>
      <c r="B896" s="16" t="s">
        <v>49</v>
      </c>
      <c r="C896" s="16" t="s">
        <v>50</v>
      </c>
      <c r="D896" s="16" t="s">
        <v>52</v>
      </c>
      <c r="E896" s="16">
        <v>63705019</v>
      </c>
      <c r="F896" s="47">
        <v>202</v>
      </c>
      <c r="G896" s="38" t="s">
        <v>9</v>
      </c>
    </row>
    <row r="897" spans="1:7" x14ac:dyDescent="0.35">
      <c r="A897" s="41">
        <v>896</v>
      </c>
      <c r="B897" s="16" t="s">
        <v>49</v>
      </c>
      <c r="C897" s="16" t="s">
        <v>50</v>
      </c>
      <c r="D897" s="16" t="s">
        <v>52</v>
      </c>
      <c r="E897" s="16">
        <v>63705020</v>
      </c>
      <c r="F897" s="41">
        <v>200</v>
      </c>
      <c r="G897" s="38" t="s">
        <v>9</v>
      </c>
    </row>
    <row r="898" spans="1:7" x14ac:dyDescent="0.35">
      <c r="A898" s="41">
        <v>897</v>
      </c>
      <c r="B898" s="16" t="s">
        <v>49</v>
      </c>
      <c r="C898" s="16" t="s">
        <v>50</v>
      </c>
      <c r="D898" s="16" t="s">
        <v>52</v>
      </c>
      <c r="E898" s="16">
        <v>63705021</v>
      </c>
      <c r="F898" s="47">
        <v>200</v>
      </c>
      <c r="G898" s="20" t="s">
        <v>9</v>
      </c>
    </row>
    <row r="899" spans="1:7" x14ac:dyDescent="0.35">
      <c r="A899" s="41">
        <v>898</v>
      </c>
      <c r="B899" s="16" t="s">
        <v>49</v>
      </c>
      <c r="C899" s="16" t="s">
        <v>50</v>
      </c>
      <c r="D899" s="16" t="s">
        <v>52</v>
      </c>
      <c r="E899" s="16">
        <v>63705033</v>
      </c>
      <c r="F899" s="47">
        <v>205</v>
      </c>
      <c r="G899" s="20" t="s">
        <v>27</v>
      </c>
    </row>
    <row r="900" spans="1:7" x14ac:dyDescent="0.35">
      <c r="A900" s="41">
        <v>899</v>
      </c>
      <c r="B900" s="16" t="s">
        <v>49</v>
      </c>
      <c r="C900" s="16" t="s">
        <v>50</v>
      </c>
      <c r="D900" s="16" t="s">
        <v>53</v>
      </c>
      <c r="E900" s="16">
        <v>63703004</v>
      </c>
      <c r="F900" s="41">
        <v>215</v>
      </c>
      <c r="G900" s="20" t="s">
        <v>9</v>
      </c>
    </row>
    <row r="901" spans="1:7" x14ac:dyDescent="0.35">
      <c r="A901" s="41">
        <v>900</v>
      </c>
      <c r="B901" s="16" t="s">
        <v>49</v>
      </c>
      <c r="C901" s="16" t="s">
        <v>50</v>
      </c>
      <c r="D901" s="16" t="s">
        <v>53</v>
      </c>
      <c r="E901" s="16">
        <v>63703006</v>
      </c>
      <c r="F901" s="41">
        <v>200</v>
      </c>
      <c r="G901" s="20" t="s">
        <v>9</v>
      </c>
    </row>
    <row r="902" spans="1:7" x14ac:dyDescent="0.35">
      <c r="A902" s="41">
        <v>901</v>
      </c>
      <c r="B902" s="16" t="s">
        <v>49</v>
      </c>
      <c r="C902" s="16" t="s">
        <v>50</v>
      </c>
      <c r="D902" s="16" t="s">
        <v>53</v>
      </c>
      <c r="E902" s="16">
        <v>63703007</v>
      </c>
      <c r="F902" s="47">
        <v>204</v>
      </c>
      <c r="G902" s="20" t="s">
        <v>9</v>
      </c>
    </row>
    <row r="903" spans="1:7" x14ac:dyDescent="0.35">
      <c r="A903" s="41">
        <v>902</v>
      </c>
      <c r="B903" s="16" t="s">
        <v>49</v>
      </c>
      <c r="C903" s="16" t="s">
        <v>50</v>
      </c>
      <c r="D903" s="16" t="s">
        <v>53</v>
      </c>
      <c r="E903" s="16">
        <v>63703009</v>
      </c>
      <c r="F903" s="47">
        <v>200</v>
      </c>
      <c r="G903" s="20" t="s">
        <v>9</v>
      </c>
    </row>
    <row r="904" spans="1:7" x14ac:dyDescent="0.35">
      <c r="A904" s="41">
        <v>903</v>
      </c>
      <c r="B904" s="16" t="s">
        <v>49</v>
      </c>
      <c r="C904" s="16" t="s">
        <v>50</v>
      </c>
      <c r="D904" s="16" t="s">
        <v>53</v>
      </c>
      <c r="E904" s="16">
        <v>63703013</v>
      </c>
      <c r="F904" s="47">
        <v>200</v>
      </c>
      <c r="G904" s="20" t="s">
        <v>9</v>
      </c>
    </row>
    <row r="905" spans="1:7" x14ac:dyDescent="0.35">
      <c r="A905" s="41">
        <v>904</v>
      </c>
      <c r="B905" s="16" t="s">
        <v>49</v>
      </c>
      <c r="C905" s="16" t="s">
        <v>50</v>
      </c>
      <c r="D905" s="16" t="s">
        <v>53</v>
      </c>
      <c r="E905" s="16">
        <v>63703019</v>
      </c>
      <c r="F905" s="47">
        <v>202</v>
      </c>
      <c r="G905" s="20" t="s">
        <v>9</v>
      </c>
    </row>
    <row r="906" spans="1:7" x14ac:dyDescent="0.35">
      <c r="A906" s="41">
        <v>905</v>
      </c>
      <c r="B906" s="16" t="s">
        <v>49</v>
      </c>
      <c r="C906" s="16" t="s">
        <v>50</v>
      </c>
      <c r="D906" s="16" t="s">
        <v>53</v>
      </c>
      <c r="E906" s="16">
        <v>63703021</v>
      </c>
      <c r="F906" s="47">
        <v>208</v>
      </c>
      <c r="G906" s="20" t="s">
        <v>9</v>
      </c>
    </row>
    <row r="907" spans="1:7" x14ac:dyDescent="0.35">
      <c r="A907" s="41">
        <v>906</v>
      </c>
      <c r="B907" s="16" t="s">
        <v>49</v>
      </c>
      <c r="C907" s="16" t="s">
        <v>50</v>
      </c>
      <c r="D907" s="16" t="s">
        <v>53</v>
      </c>
      <c r="E907" s="16">
        <v>63703023</v>
      </c>
      <c r="F907" s="47">
        <v>207</v>
      </c>
      <c r="G907" s="20" t="s">
        <v>27</v>
      </c>
    </row>
    <row r="908" spans="1:7" x14ac:dyDescent="0.35">
      <c r="A908" s="41">
        <v>907</v>
      </c>
      <c r="B908" s="16" t="s">
        <v>49</v>
      </c>
      <c r="C908" s="16" t="s">
        <v>50</v>
      </c>
      <c r="D908" s="16" t="s">
        <v>53</v>
      </c>
      <c r="E908" s="16">
        <v>63703025</v>
      </c>
      <c r="F908" s="47">
        <v>209</v>
      </c>
      <c r="G908" s="20" t="s">
        <v>9</v>
      </c>
    </row>
    <row r="909" spans="1:7" x14ac:dyDescent="0.35">
      <c r="A909" s="41">
        <v>908</v>
      </c>
      <c r="B909" s="16" t="s">
        <v>49</v>
      </c>
      <c r="C909" s="16" t="s">
        <v>50</v>
      </c>
      <c r="D909" s="16" t="s">
        <v>53</v>
      </c>
      <c r="E909" s="16">
        <v>63703027</v>
      </c>
      <c r="F909" s="47">
        <v>202</v>
      </c>
      <c r="G909" s="20" t="s">
        <v>9</v>
      </c>
    </row>
    <row r="910" spans="1:7" x14ac:dyDescent="0.35">
      <c r="A910" s="41">
        <v>909</v>
      </c>
      <c r="B910" s="16" t="s">
        <v>49</v>
      </c>
      <c r="C910" s="16" t="s">
        <v>50</v>
      </c>
      <c r="D910" s="16" t="s">
        <v>53</v>
      </c>
      <c r="E910" s="16">
        <v>63703029</v>
      </c>
      <c r="F910" s="47">
        <v>201</v>
      </c>
      <c r="G910" s="20" t="s">
        <v>9</v>
      </c>
    </row>
    <row r="911" spans="1:7" x14ac:dyDescent="0.35">
      <c r="A911" s="41">
        <v>910</v>
      </c>
      <c r="B911" s="16" t="s">
        <v>49</v>
      </c>
      <c r="C911" s="16" t="s">
        <v>50</v>
      </c>
      <c r="D911" s="16" t="s">
        <v>53</v>
      </c>
      <c r="E911" s="16">
        <v>63703030</v>
      </c>
      <c r="F911" s="41">
        <v>201</v>
      </c>
      <c r="G911" s="20" t="s">
        <v>9</v>
      </c>
    </row>
    <row r="912" spans="1:7" x14ac:dyDescent="0.35">
      <c r="A912" s="41">
        <v>911</v>
      </c>
      <c r="B912" s="16" t="s">
        <v>49</v>
      </c>
      <c r="C912" s="16" t="s">
        <v>50</v>
      </c>
      <c r="D912" s="16" t="s">
        <v>53</v>
      </c>
      <c r="E912" s="16">
        <v>63703031</v>
      </c>
      <c r="F912" s="47">
        <v>205</v>
      </c>
      <c r="G912" s="20" t="s">
        <v>9</v>
      </c>
    </row>
    <row r="913" spans="1:7" x14ac:dyDescent="0.35">
      <c r="A913" s="41">
        <v>912</v>
      </c>
      <c r="B913" s="16" t="s">
        <v>49</v>
      </c>
      <c r="C913" s="16" t="s">
        <v>50</v>
      </c>
      <c r="D913" s="16" t="s">
        <v>53</v>
      </c>
      <c r="E913" s="16">
        <v>63703032</v>
      </c>
      <c r="F913" s="41">
        <v>206</v>
      </c>
      <c r="G913" s="20" t="s">
        <v>9</v>
      </c>
    </row>
    <row r="914" spans="1:7" x14ac:dyDescent="0.35">
      <c r="A914" s="41">
        <v>913</v>
      </c>
      <c r="B914" s="16" t="s">
        <v>49</v>
      </c>
      <c r="C914" s="16" t="s">
        <v>50</v>
      </c>
      <c r="D914" s="16" t="s">
        <v>53</v>
      </c>
      <c r="E914" s="16">
        <v>63703038</v>
      </c>
      <c r="F914" s="41">
        <v>200</v>
      </c>
      <c r="G914" s="20" t="s">
        <v>9</v>
      </c>
    </row>
    <row r="915" spans="1:7" x14ac:dyDescent="0.35">
      <c r="A915" s="41">
        <v>914</v>
      </c>
      <c r="B915" s="16" t="s">
        <v>49</v>
      </c>
      <c r="C915" s="16" t="s">
        <v>50</v>
      </c>
      <c r="D915" s="16" t="s">
        <v>53</v>
      </c>
      <c r="E915" s="16">
        <v>63703039</v>
      </c>
      <c r="F915" s="47">
        <v>200</v>
      </c>
      <c r="G915" s="20" t="s">
        <v>9</v>
      </c>
    </row>
    <row r="916" spans="1:7" x14ac:dyDescent="0.35">
      <c r="A916" s="41">
        <v>915</v>
      </c>
      <c r="B916" s="16" t="s">
        <v>49</v>
      </c>
      <c r="C916" s="16" t="s">
        <v>50</v>
      </c>
      <c r="D916" s="16" t="s">
        <v>53</v>
      </c>
      <c r="E916" s="16">
        <v>63703045</v>
      </c>
      <c r="F916" s="47">
        <v>214</v>
      </c>
      <c r="G916" s="20" t="s">
        <v>9</v>
      </c>
    </row>
    <row r="917" spans="1:7" x14ac:dyDescent="0.35">
      <c r="A917" s="41">
        <v>916</v>
      </c>
      <c r="B917" s="16" t="s">
        <v>49</v>
      </c>
      <c r="C917" s="16" t="s">
        <v>401</v>
      </c>
      <c r="D917" s="16" t="s">
        <v>273</v>
      </c>
      <c r="E917" s="16">
        <v>64005020</v>
      </c>
      <c r="F917" s="41">
        <v>201</v>
      </c>
      <c r="G917" s="20" t="s">
        <v>9</v>
      </c>
    </row>
    <row r="918" spans="1:7" x14ac:dyDescent="0.35">
      <c r="A918" s="41">
        <v>917</v>
      </c>
      <c r="B918" s="16" t="s">
        <v>49</v>
      </c>
      <c r="C918" s="16" t="s">
        <v>401</v>
      </c>
      <c r="D918" s="16" t="s">
        <v>402</v>
      </c>
      <c r="E918" s="16">
        <v>64004003</v>
      </c>
      <c r="F918" s="47">
        <v>202</v>
      </c>
      <c r="G918" s="20" t="s">
        <v>9</v>
      </c>
    </row>
    <row r="919" spans="1:7" x14ac:dyDescent="0.35">
      <c r="A919" s="41">
        <v>918</v>
      </c>
      <c r="B919" s="16" t="s">
        <v>49</v>
      </c>
      <c r="C919" s="16" t="s">
        <v>401</v>
      </c>
      <c r="D919" s="16" t="s">
        <v>271</v>
      </c>
      <c r="E919" s="16">
        <v>64003011</v>
      </c>
      <c r="F919" s="47">
        <v>200</v>
      </c>
      <c r="G919" s="20" t="s">
        <v>9</v>
      </c>
    </row>
    <row r="920" spans="1:7" x14ac:dyDescent="0.35">
      <c r="A920" s="41">
        <v>919</v>
      </c>
      <c r="B920" s="16" t="s">
        <v>49</v>
      </c>
      <c r="C920" s="16" t="s">
        <v>401</v>
      </c>
      <c r="D920" s="16" t="s">
        <v>271</v>
      </c>
      <c r="E920" s="16">
        <v>64003012</v>
      </c>
      <c r="F920" s="41">
        <v>203</v>
      </c>
      <c r="G920" s="20" t="s">
        <v>9</v>
      </c>
    </row>
    <row r="921" spans="1:7" x14ac:dyDescent="0.35">
      <c r="A921" s="41">
        <v>920</v>
      </c>
      <c r="B921" s="16" t="s">
        <v>49</v>
      </c>
      <c r="C921" s="16" t="s">
        <v>401</v>
      </c>
      <c r="D921" s="16" t="s">
        <v>271</v>
      </c>
      <c r="E921" s="16">
        <v>64003016</v>
      </c>
      <c r="F921" s="41">
        <v>200</v>
      </c>
      <c r="G921" s="20" t="s">
        <v>27</v>
      </c>
    </row>
    <row r="922" spans="1:7" x14ac:dyDescent="0.35">
      <c r="A922" s="41">
        <v>921</v>
      </c>
      <c r="B922" s="16" t="s">
        <v>49</v>
      </c>
      <c r="C922" s="16" t="s">
        <v>401</v>
      </c>
      <c r="D922" s="16" t="s">
        <v>271</v>
      </c>
      <c r="E922" s="16">
        <v>64003035</v>
      </c>
      <c r="F922" s="47">
        <v>201</v>
      </c>
      <c r="G922" s="20" t="s">
        <v>9</v>
      </c>
    </row>
    <row r="923" spans="1:7" x14ac:dyDescent="0.35">
      <c r="A923" s="41">
        <v>922</v>
      </c>
      <c r="B923" s="16" t="s">
        <v>49</v>
      </c>
      <c r="C923" s="16" t="s">
        <v>54</v>
      </c>
      <c r="D923" s="16" t="s">
        <v>269</v>
      </c>
      <c r="E923" s="16">
        <v>63904001</v>
      </c>
      <c r="F923" s="47">
        <v>200</v>
      </c>
      <c r="G923" s="20" t="s">
        <v>9</v>
      </c>
    </row>
    <row r="924" spans="1:7" x14ac:dyDescent="0.35">
      <c r="A924" s="41">
        <v>923</v>
      </c>
      <c r="B924" s="16" t="s">
        <v>49</v>
      </c>
      <c r="C924" s="16" t="s">
        <v>54</v>
      </c>
      <c r="D924" s="16" t="s">
        <v>269</v>
      </c>
      <c r="E924" s="16">
        <v>63904002</v>
      </c>
      <c r="F924" s="41">
        <v>200</v>
      </c>
      <c r="G924" s="20" t="s">
        <v>9</v>
      </c>
    </row>
    <row r="925" spans="1:7" x14ac:dyDescent="0.35">
      <c r="A925" s="41">
        <v>924</v>
      </c>
      <c r="B925" s="16" t="s">
        <v>49</v>
      </c>
      <c r="C925" s="16" t="s">
        <v>54</v>
      </c>
      <c r="D925" s="16" t="s">
        <v>269</v>
      </c>
      <c r="E925" s="16">
        <v>63904004</v>
      </c>
      <c r="F925" s="41">
        <v>201</v>
      </c>
      <c r="G925" s="20" t="s">
        <v>9</v>
      </c>
    </row>
    <row r="926" spans="1:7" x14ac:dyDescent="0.35">
      <c r="A926" s="41">
        <v>925</v>
      </c>
      <c r="B926" s="16" t="s">
        <v>49</v>
      </c>
      <c r="C926" s="16" t="s">
        <v>54</v>
      </c>
      <c r="D926" s="16" t="s">
        <v>269</v>
      </c>
      <c r="E926" s="16">
        <v>63904007</v>
      </c>
      <c r="F926" s="47">
        <v>221</v>
      </c>
      <c r="G926" s="20" t="s">
        <v>9</v>
      </c>
    </row>
    <row r="927" spans="1:7" x14ac:dyDescent="0.35">
      <c r="A927" s="41">
        <v>926</v>
      </c>
      <c r="B927" s="16" t="s">
        <v>49</v>
      </c>
      <c r="C927" s="16" t="s">
        <v>54</v>
      </c>
      <c r="D927" s="16" t="s">
        <v>269</v>
      </c>
      <c r="E927" s="16">
        <v>63904008</v>
      </c>
      <c r="F927" s="41">
        <v>217</v>
      </c>
      <c r="G927" s="20" t="s">
        <v>9</v>
      </c>
    </row>
    <row r="928" spans="1:7" x14ac:dyDescent="0.35">
      <c r="A928" s="41">
        <v>927</v>
      </c>
      <c r="B928" s="16" t="s">
        <v>49</v>
      </c>
      <c r="C928" s="16" t="s">
        <v>54</v>
      </c>
      <c r="D928" s="16" t="s">
        <v>269</v>
      </c>
      <c r="E928" s="16">
        <v>63904009</v>
      </c>
      <c r="F928" s="47">
        <v>200</v>
      </c>
      <c r="G928" s="20" t="s">
        <v>9</v>
      </c>
    </row>
    <row r="929" spans="1:7" x14ac:dyDescent="0.35">
      <c r="A929" s="41">
        <v>928</v>
      </c>
      <c r="B929" s="16" t="s">
        <v>49</v>
      </c>
      <c r="C929" s="16" t="s">
        <v>54</v>
      </c>
      <c r="D929" s="16" t="s">
        <v>269</v>
      </c>
      <c r="E929" s="16">
        <v>63904012</v>
      </c>
      <c r="F929" s="41">
        <v>200</v>
      </c>
      <c r="G929" s="20" t="s">
        <v>9</v>
      </c>
    </row>
    <row r="930" spans="1:7" x14ac:dyDescent="0.35">
      <c r="A930" s="41">
        <v>929</v>
      </c>
      <c r="B930" s="16" t="s">
        <v>49</v>
      </c>
      <c r="C930" s="16" t="s">
        <v>54</v>
      </c>
      <c r="D930" s="16" t="s">
        <v>269</v>
      </c>
      <c r="E930" s="16">
        <v>63904014</v>
      </c>
      <c r="F930" s="41">
        <v>200</v>
      </c>
      <c r="G930" s="20" t="s">
        <v>9</v>
      </c>
    </row>
    <row r="931" spans="1:7" x14ac:dyDescent="0.35">
      <c r="A931" s="41">
        <v>930</v>
      </c>
      <c r="B931" s="16" t="s">
        <v>49</v>
      </c>
      <c r="C931" s="16" t="s">
        <v>54</v>
      </c>
      <c r="D931" s="16" t="s">
        <v>269</v>
      </c>
      <c r="E931" s="16">
        <v>63904015</v>
      </c>
      <c r="F931" s="47">
        <v>205</v>
      </c>
      <c r="G931" s="20" t="s">
        <v>9</v>
      </c>
    </row>
    <row r="932" spans="1:7" x14ac:dyDescent="0.35">
      <c r="A932" s="41">
        <v>931</v>
      </c>
      <c r="B932" s="16" t="s">
        <v>49</v>
      </c>
      <c r="C932" s="16" t="s">
        <v>54</v>
      </c>
      <c r="D932" s="16" t="s">
        <v>269</v>
      </c>
      <c r="E932" s="16">
        <v>63904016</v>
      </c>
      <c r="F932" s="41">
        <v>200</v>
      </c>
      <c r="G932" s="20" t="s">
        <v>9</v>
      </c>
    </row>
    <row r="933" spans="1:7" x14ac:dyDescent="0.35">
      <c r="A933" s="41">
        <v>932</v>
      </c>
      <c r="B933" s="16" t="s">
        <v>49</v>
      </c>
      <c r="C933" s="16" t="s">
        <v>54</v>
      </c>
      <c r="D933" s="16" t="s">
        <v>269</v>
      </c>
      <c r="E933" s="16">
        <v>63904017</v>
      </c>
      <c r="F933" s="47">
        <v>202</v>
      </c>
      <c r="G933" s="20" t="s">
        <v>9</v>
      </c>
    </row>
    <row r="934" spans="1:7" x14ac:dyDescent="0.35">
      <c r="A934" s="41">
        <v>933</v>
      </c>
      <c r="B934" s="16" t="s">
        <v>49</v>
      </c>
      <c r="C934" s="16" t="s">
        <v>54</v>
      </c>
      <c r="D934" s="16" t="s">
        <v>269</v>
      </c>
      <c r="E934" s="16">
        <v>63904018</v>
      </c>
      <c r="F934" s="41">
        <v>200</v>
      </c>
      <c r="G934" s="20" t="s">
        <v>9</v>
      </c>
    </row>
    <row r="935" spans="1:7" x14ac:dyDescent="0.35">
      <c r="A935" s="41">
        <v>934</v>
      </c>
      <c r="B935" s="16" t="s">
        <v>49</v>
      </c>
      <c r="C935" s="16" t="s">
        <v>54</v>
      </c>
      <c r="D935" s="16" t="s">
        <v>269</v>
      </c>
      <c r="E935" s="16">
        <v>63904021</v>
      </c>
      <c r="F935" s="47">
        <v>201</v>
      </c>
      <c r="G935" s="20" t="s">
        <v>9</v>
      </c>
    </row>
    <row r="936" spans="1:7" x14ac:dyDescent="0.35">
      <c r="A936" s="41">
        <v>935</v>
      </c>
      <c r="B936" s="16" t="s">
        <v>49</v>
      </c>
      <c r="C936" s="16" t="s">
        <v>54</v>
      </c>
      <c r="D936" s="16" t="s">
        <v>269</v>
      </c>
      <c r="E936" s="16">
        <v>63904022</v>
      </c>
      <c r="F936" s="41">
        <v>200</v>
      </c>
      <c r="G936" s="20" t="s">
        <v>9</v>
      </c>
    </row>
    <row r="937" spans="1:7" x14ac:dyDescent="0.35">
      <c r="A937" s="41">
        <v>936</v>
      </c>
      <c r="B937" s="16" t="s">
        <v>49</v>
      </c>
      <c r="C937" s="16" t="s">
        <v>54</v>
      </c>
      <c r="D937" s="16" t="s">
        <v>269</v>
      </c>
      <c r="E937" s="16">
        <v>63904023</v>
      </c>
      <c r="F937" s="47">
        <v>203</v>
      </c>
      <c r="G937" s="20" t="s">
        <v>9</v>
      </c>
    </row>
    <row r="938" spans="1:7" x14ac:dyDescent="0.35">
      <c r="A938" s="41">
        <v>937</v>
      </c>
      <c r="B938" s="16" t="s">
        <v>49</v>
      </c>
      <c r="C938" s="16" t="s">
        <v>54</v>
      </c>
      <c r="D938" s="16" t="s">
        <v>269</v>
      </c>
      <c r="E938" s="16">
        <v>63904024</v>
      </c>
      <c r="F938" s="41">
        <v>287</v>
      </c>
      <c r="G938" s="20" t="s">
        <v>9</v>
      </c>
    </row>
    <row r="939" spans="1:7" x14ac:dyDescent="0.35">
      <c r="A939" s="41">
        <v>938</v>
      </c>
      <c r="B939" s="16" t="s">
        <v>49</v>
      </c>
      <c r="C939" s="16" t="s">
        <v>54</v>
      </c>
      <c r="D939" s="16" t="s">
        <v>55</v>
      </c>
      <c r="E939" s="16">
        <v>63906001</v>
      </c>
      <c r="F939" s="47">
        <v>203</v>
      </c>
      <c r="G939" s="20" t="s">
        <v>9</v>
      </c>
    </row>
    <row r="940" spans="1:7" x14ac:dyDescent="0.35">
      <c r="A940" s="41">
        <v>939</v>
      </c>
      <c r="B940" s="16" t="s">
        <v>49</v>
      </c>
      <c r="C940" s="16" t="s">
        <v>54</v>
      </c>
      <c r="D940" s="16" t="s">
        <v>55</v>
      </c>
      <c r="E940" s="16">
        <v>63906002</v>
      </c>
      <c r="F940" s="41">
        <v>202</v>
      </c>
      <c r="G940" s="20" t="s">
        <v>9</v>
      </c>
    </row>
    <row r="941" spans="1:7" x14ac:dyDescent="0.35">
      <c r="A941" s="41">
        <v>940</v>
      </c>
      <c r="B941" s="16" t="s">
        <v>49</v>
      </c>
      <c r="C941" s="16" t="s">
        <v>54</v>
      </c>
      <c r="D941" s="16" t="s">
        <v>55</v>
      </c>
      <c r="E941" s="16">
        <v>63906003</v>
      </c>
      <c r="F941" s="47">
        <v>206</v>
      </c>
      <c r="G941" s="20" t="s">
        <v>9</v>
      </c>
    </row>
    <row r="942" spans="1:7" x14ac:dyDescent="0.35">
      <c r="A942" s="41">
        <v>941</v>
      </c>
      <c r="B942" s="16" t="s">
        <v>49</v>
      </c>
      <c r="C942" s="16" t="s">
        <v>54</v>
      </c>
      <c r="D942" s="16" t="s">
        <v>55</v>
      </c>
      <c r="E942" s="16">
        <v>63906005</v>
      </c>
      <c r="F942" s="47">
        <v>209</v>
      </c>
      <c r="G942" s="20" t="s">
        <v>9</v>
      </c>
    </row>
    <row r="943" spans="1:7" x14ac:dyDescent="0.35">
      <c r="A943" s="41">
        <v>942</v>
      </c>
      <c r="B943" s="16" t="s">
        <v>49</v>
      </c>
      <c r="C943" s="16" t="s">
        <v>54</v>
      </c>
      <c r="D943" s="16" t="s">
        <v>344</v>
      </c>
      <c r="E943" s="16">
        <v>63903001</v>
      </c>
      <c r="F943" s="47">
        <v>204</v>
      </c>
      <c r="G943" s="20" t="s">
        <v>9</v>
      </c>
    </row>
    <row r="944" spans="1:7" x14ac:dyDescent="0.35">
      <c r="A944" s="41">
        <v>943</v>
      </c>
      <c r="B944" s="16" t="s">
        <v>49</v>
      </c>
      <c r="C944" s="16" t="s">
        <v>54</v>
      </c>
      <c r="D944" s="16" t="s">
        <v>344</v>
      </c>
      <c r="E944" s="16">
        <v>63903007</v>
      </c>
      <c r="F944" s="47">
        <v>214</v>
      </c>
      <c r="G944" s="20" t="s">
        <v>9</v>
      </c>
    </row>
    <row r="945" spans="1:7" x14ac:dyDescent="0.35">
      <c r="A945" s="41">
        <v>944</v>
      </c>
      <c r="B945" s="16" t="s">
        <v>49</v>
      </c>
      <c r="C945" s="16" t="s">
        <v>54</v>
      </c>
      <c r="D945" s="16" t="s">
        <v>344</v>
      </c>
      <c r="E945" s="16">
        <v>63903008</v>
      </c>
      <c r="F945" s="41">
        <v>204</v>
      </c>
      <c r="G945" s="20" t="s">
        <v>9</v>
      </c>
    </row>
    <row r="946" spans="1:7" x14ac:dyDescent="0.35">
      <c r="A946" s="41">
        <v>945</v>
      </c>
      <c r="B946" s="16" t="s">
        <v>49</v>
      </c>
      <c r="C946" s="16" t="s">
        <v>54</v>
      </c>
      <c r="D946" s="16" t="s">
        <v>266</v>
      </c>
      <c r="E946" s="16">
        <v>63902002</v>
      </c>
      <c r="F946" s="41">
        <v>225</v>
      </c>
      <c r="G946" s="20" t="s">
        <v>9</v>
      </c>
    </row>
    <row r="947" spans="1:7" x14ac:dyDescent="0.35">
      <c r="A947" s="41">
        <v>946</v>
      </c>
      <c r="B947" s="16" t="s">
        <v>49</v>
      </c>
      <c r="C947" s="16" t="s">
        <v>403</v>
      </c>
      <c r="D947" s="16" t="s">
        <v>264</v>
      </c>
      <c r="E947" s="16">
        <v>63804002</v>
      </c>
      <c r="F947" s="41">
        <v>200</v>
      </c>
      <c r="G947" s="20" t="s">
        <v>9</v>
      </c>
    </row>
    <row r="948" spans="1:7" x14ac:dyDescent="0.35">
      <c r="A948" s="41">
        <v>947</v>
      </c>
      <c r="B948" s="16" t="s">
        <v>49</v>
      </c>
      <c r="C948" s="16" t="s">
        <v>403</v>
      </c>
      <c r="D948" s="16" t="s">
        <v>264</v>
      </c>
      <c r="E948" s="16">
        <v>63804013</v>
      </c>
      <c r="F948" s="47">
        <v>201</v>
      </c>
      <c r="G948" s="20" t="s">
        <v>9</v>
      </c>
    </row>
    <row r="949" spans="1:7" x14ac:dyDescent="0.35">
      <c r="A949" s="41">
        <v>948</v>
      </c>
      <c r="B949" s="16" t="s">
        <v>49</v>
      </c>
      <c r="C949" s="16" t="s">
        <v>403</v>
      </c>
      <c r="D949" s="16" t="s">
        <v>264</v>
      </c>
      <c r="E949" s="16">
        <v>63804018</v>
      </c>
      <c r="F949" s="41">
        <v>200</v>
      </c>
      <c r="G949" s="20" t="s">
        <v>27</v>
      </c>
    </row>
    <row r="950" spans="1:7" x14ac:dyDescent="0.35">
      <c r="A950" s="41">
        <v>949</v>
      </c>
      <c r="B950" s="16" t="s">
        <v>49</v>
      </c>
      <c r="C950" s="16" t="s">
        <v>403</v>
      </c>
      <c r="D950" s="16" t="s">
        <v>263</v>
      </c>
      <c r="E950" s="16">
        <v>63803002</v>
      </c>
      <c r="F950" s="41">
        <v>210</v>
      </c>
      <c r="G950" s="20" t="s">
        <v>9</v>
      </c>
    </row>
    <row r="951" spans="1:7" x14ac:dyDescent="0.35">
      <c r="A951" s="41">
        <v>950</v>
      </c>
      <c r="B951" s="16" t="s">
        <v>49</v>
      </c>
      <c r="C951" s="16" t="s">
        <v>403</v>
      </c>
      <c r="D951" s="16" t="s">
        <v>263</v>
      </c>
      <c r="E951" s="16">
        <v>63803010</v>
      </c>
      <c r="F951" s="41">
        <v>200</v>
      </c>
      <c r="G951" s="20" t="s">
        <v>27</v>
      </c>
    </row>
    <row r="952" spans="1:7" x14ac:dyDescent="0.35">
      <c r="A952" s="41">
        <v>951</v>
      </c>
      <c r="B952" s="16" t="s">
        <v>49</v>
      </c>
      <c r="C952" s="16" t="s">
        <v>403</v>
      </c>
      <c r="D952" s="16" t="s">
        <v>263</v>
      </c>
      <c r="E952" s="16">
        <v>63803011</v>
      </c>
      <c r="F952" s="47">
        <v>200</v>
      </c>
      <c r="G952" s="20" t="s">
        <v>9</v>
      </c>
    </row>
    <row r="953" spans="1:7" x14ac:dyDescent="0.35">
      <c r="A953" s="41">
        <v>952</v>
      </c>
      <c r="B953" s="16" t="s">
        <v>49</v>
      </c>
      <c r="C953" s="16" t="s">
        <v>403</v>
      </c>
      <c r="D953" s="16" t="s">
        <v>263</v>
      </c>
      <c r="E953" s="16">
        <v>63803015</v>
      </c>
      <c r="F953" s="47">
        <v>207</v>
      </c>
      <c r="G953" s="20" t="s">
        <v>9</v>
      </c>
    </row>
    <row r="954" spans="1:7" x14ac:dyDescent="0.35">
      <c r="A954" s="41">
        <v>953</v>
      </c>
      <c r="B954" s="16" t="s">
        <v>49</v>
      </c>
      <c r="C954" s="16" t="s">
        <v>403</v>
      </c>
      <c r="D954" s="16" t="s">
        <v>263</v>
      </c>
      <c r="E954" s="16">
        <v>63803016</v>
      </c>
      <c r="F954" s="41">
        <v>211</v>
      </c>
      <c r="G954" s="20" t="s">
        <v>9</v>
      </c>
    </row>
    <row r="955" spans="1:7" x14ac:dyDescent="0.35">
      <c r="A955" s="41">
        <v>954</v>
      </c>
      <c r="B955" s="16" t="s">
        <v>49</v>
      </c>
      <c r="C955" s="16" t="s">
        <v>403</v>
      </c>
      <c r="D955" s="16" t="s">
        <v>263</v>
      </c>
      <c r="E955" s="16">
        <v>63803018</v>
      </c>
      <c r="F955" s="41">
        <v>202</v>
      </c>
      <c r="G955" s="20" t="s">
        <v>9</v>
      </c>
    </row>
    <row r="956" spans="1:7" x14ac:dyDescent="0.35">
      <c r="A956" s="41">
        <v>955</v>
      </c>
      <c r="B956" s="16" t="s">
        <v>49</v>
      </c>
      <c r="C956" s="16" t="s">
        <v>403</v>
      </c>
      <c r="D956" s="16" t="s">
        <v>263</v>
      </c>
      <c r="E956" s="16">
        <v>63803020</v>
      </c>
      <c r="F956" s="41">
        <v>201</v>
      </c>
      <c r="G956" s="20" t="s">
        <v>9</v>
      </c>
    </row>
    <row r="957" spans="1:7" x14ac:dyDescent="0.35">
      <c r="A957" s="41">
        <v>956</v>
      </c>
      <c r="B957" s="16" t="s">
        <v>49</v>
      </c>
      <c r="C957" s="16" t="s">
        <v>403</v>
      </c>
      <c r="D957" s="16" t="s">
        <v>263</v>
      </c>
      <c r="E957" s="16">
        <v>63803023</v>
      </c>
      <c r="F957" s="47">
        <v>211</v>
      </c>
      <c r="G957" s="20" t="s">
        <v>9</v>
      </c>
    </row>
    <row r="958" spans="1:7" x14ac:dyDescent="0.35">
      <c r="A958" s="41">
        <v>957</v>
      </c>
      <c r="B958" s="16" t="s">
        <v>49</v>
      </c>
      <c r="C958" s="16" t="s">
        <v>403</v>
      </c>
      <c r="D958" s="16" t="s">
        <v>263</v>
      </c>
      <c r="E958" s="16">
        <v>63803024</v>
      </c>
      <c r="F958" s="41">
        <v>202</v>
      </c>
      <c r="G958" s="20" t="s">
        <v>9</v>
      </c>
    </row>
    <row r="959" spans="1:7" x14ac:dyDescent="0.35">
      <c r="A959" s="41">
        <v>958</v>
      </c>
      <c r="B959" s="16" t="s">
        <v>49</v>
      </c>
      <c r="C959" s="16" t="s">
        <v>403</v>
      </c>
      <c r="D959" s="16" t="s">
        <v>263</v>
      </c>
      <c r="E959" s="16">
        <v>63803025</v>
      </c>
      <c r="F959" s="47">
        <v>200</v>
      </c>
      <c r="G959" s="20" t="s">
        <v>9</v>
      </c>
    </row>
    <row r="960" spans="1:7" x14ac:dyDescent="0.35">
      <c r="A960" s="41">
        <v>959</v>
      </c>
      <c r="B960" s="16" t="s">
        <v>49</v>
      </c>
      <c r="C960" s="16" t="s">
        <v>403</v>
      </c>
      <c r="D960" s="16" t="s">
        <v>263</v>
      </c>
      <c r="E960" s="16">
        <v>63803026</v>
      </c>
      <c r="F960" s="41">
        <v>209</v>
      </c>
      <c r="G960" s="20" t="s">
        <v>9</v>
      </c>
    </row>
    <row r="961" spans="1:7" x14ac:dyDescent="0.35">
      <c r="A961" s="41">
        <v>960</v>
      </c>
      <c r="B961" s="16" t="s">
        <v>49</v>
      </c>
      <c r="C961" s="16" t="s">
        <v>403</v>
      </c>
      <c r="D961" s="16" t="s">
        <v>263</v>
      </c>
      <c r="E961" s="16">
        <v>63803028</v>
      </c>
      <c r="F961" s="41">
        <v>209</v>
      </c>
      <c r="G961" s="20" t="s">
        <v>9</v>
      </c>
    </row>
    <row r="962" spans="1:7" x14ac:dyDescent="0.35">
      <c r="A962" s="41">
        <v>961</v>
      </c>
      <c r="B962" s="16" t="s">
        <v>49</v>
      </c>
      <c r="C962" s="16" t="s">
        <v>403</v>
      </c>
      <c r="D962" s="16" t="s">
        <v>263</v>
      </c>
      <c r="E962" s="16">
        <v>63803033</v>
      </c>
      <c r="F962" s="47">
        <v>222</v>
      </c>
      <c r="G962" s="20" t="s">
        <v>9</v>
      </c>
    </row>
    <row r="963" spans="1:7" x14ac:dyDescent="0.35">
      <c r="A963" s="41">
        <v>962</v>
      </c>
      <c r="B963" s="16" t="s">
        <v>49</v>
      </c>
      <c r="C963" s="16" t="s">
        <v>403</v>
      </c>
      <c r="D963" s="16" t="s">
        <v>263</v>
      </c>
      <c r="E963" s="16">
        <v>63803035</v>
      </c>
      <c r="F963" s="47">
        <v>204</v>
      </c>
      <c r="G963" s="20" t="s">
        <v>9</v>
      </c>
    </row>
    <row r="964" spans="1:7" x14ac:dyDescent="0.35">
      <c r="A964" s="41">
        <v>963</v>
      </c>
      <c r="B964" s="16" t="s">
        <v>49</v>
      </c>
      <c r="C964" s="16" t="s">
        <v>403</v>
      </c>
      <c r="D964" s="16" t="s">
        <v>261</v>
      </c>
      <c r="E964" s="16">
        <v>63801006</v>
      </c>
      <c r="F964" s="41">
        <v>200</v>
      </c>
      <c r="G964" s="20" t="s">
        <v>9</v>
      </c>
    </row>
    <row r="965" spans="1:7" x14ac:dyDescent="0.35">
      <c r="A965" s="41">
        <v>964</v>
      </c>
      <c r="B965" s="16" t="s">
        <v>49</v>
      </c>
      <c r="C965" s="16" t="s">
        <v>403</v>
      </c>
      <c r="D965" s="16" t="s">
        <v>262</v>
      </c>
      <c r="E965" s="16">
        <v>63802007</v>
      </c>
      <c r="F965" s="47">
        <v>200</v>
      </c>
      <c r="G965" s="20" t="s">
        <v>9</v>
      </c>
    </row>
    <row r="966" spans="1:7" x14ac:dyDescent="0.35">
      <c r="A966" s="41">
        <v>965</v>
      </c>
      <c r="B966" s="16" t="s">
        <v>49</v>
      </c>
      <c r="C966" s="16" t="s">
        <v>403</v>
      </c>
      <c r="D966" s="16" t="s">
        <v>262</v>
      </c>
      <c r="E966" s="16">
        <v>63802011</v>
      </c>
      <c r="F966" s="47">
        <v>207</v>
      </c>
      <c r="G966" s="20" t="s">
        <v>9</v>
      </c>
    </row>
    <row r="967" spans="1:7" x14ac:dyDescent="0.35">
      <c r="A967" s="41">
        <v>966</v>
      </c>
      <c r="B967" s="16" t="s">
        <v>49</v>
      </c>
      <c r="C967" s="16" t="s">
        <v>403</v>
      </c>
      <c r="D967" s="16" t="s">
        <v>262</v>
      </c>
      <c r="E967" s="16">
        <v>63802014</v>
      </c>
      <c r="F967" s="41">
        <v>200</v>
      </c>
      <c r="G967" s="20" t="s">
        <v>9</v>
      </c>
    </row>
    <row r="968" spans="1:7" x14ac:dyDescent="0.35">
      <c r="A968" s="41">
        <v>967</v>
      </c>
      <c r="B968" s="17" t="s">
        <v>46</v>
      </c>
      <c r="C968" s="17" t="s">
        <v>368</v>
      </c>
      <c r="D968" s="17" t="s">
        <v>284</v>
      </c>
      <c r="E968" s="18">
        <v>30902001</v>
      </c>
      <c r="F968" s="41">
        <v>205</v>
      </c>
      <c r="G968" s="19" t="s">
        <v>9</v>
      </c>
    </row>
    <row r="969" spans="1:7" x14ac:dyDescent="0.35">
      <c r="A969" s="41">
        <v>968</v>
      </c>
      <c r="B969" s="17" t="s">
        <v>46</v>
      </c>
      <c r="C969" s="17" t="s">
        <v>368</v>
      </c>
      <c r="D969" s="17" t="s">
        <v>284</v>
      </c>
      <c r="E969" s="18">
        <v>30902007</v>
      </c>
      <c r="F969" s="41">
        <v>255</v>
      </c>
      <c r="G969" s="19" t="s">
        <v>9</v>
      </c>
    </row>
    <row r="970" spans="1:7" x14ac:dyDescent="0.35">
      <c r="A970" s="41">
        <v>969</v>
      </c>
      <c r="B970" s="17" t="s">
        <v>46</v>
      </c>
      <c r="C970" s="17" t="s">
        <v>368</v>
      </c>
      <c r="D970" s="17" t="s">
        <v>369</v>
      </c>
      <c r="E970" s="18">
        <v>30904002</v>
      </c>
      <c r="F970" s="41">
        <v>241</v>
      </c>
      <c r="G970" s="19" t="s">
        <v>9</v>
      </c>
    </row>
    <row r="971" spans="1:7" x14ac:dyDescent="0.35">
      <c r="A971" s="41">
        <v>970</v>
      </c>
      <c r="B971" s="17" t="s">
        <v>46</v>
      </c>
      <c r="C971" s="17" t="s">
        <v>368</v>
      </c>
      <c r="D971" s="17" t="s">
        <v>369</v>
      </c>
      <c r="E971" s="18">
        <v>30904003</v>
      </c>
      <c r="F971" s="41">
        <v>408</v>
      </c>
      <c r="G971" s="19" t="s">
        <v>9</v>
      </c>
    </row>
    <row r="972" spans="1:7" x14ac:dyDescent="0.35">
      <c r="A972" s="41">
        <v>971</v>
      </c>
      <c r="B972" s="17" t="s">
        <v>46</v>
      </c>
      <c r="C972" s="17" t="s">
        <v>368</v>
      </c>
      <c r="D972" s="17" t="s">
        <v>369</v>
      </c>
      <c r="E972" s="18">
        <v>30904005</v>
      </c>
      <c r="F972" s="41">
        <v>217</v>
      </c>
      <c r="G972" s="19" t="s">
        <v>9</v>
      </c>
    </row>
    <row r="973" spans="1:7" x14ac:dyDescent="0.35">
      <c r="A973" s="41">
        <v>972</v>
      </c>
      <c r="B973" s="17" t="s">
        <v>46</v>
      </c>
      <c r="C973" s="17" t="s">
        <v>368</v>
      </c>
      <c r="D973" s="17" t="s">
        <v>369</v>
      </c>
      <c r="E973" s="18">
        <v>30904007</v>
      </c>
      <c r="F973" s="41">
        <v>328</v>
      </c>
      <c r="G973" s="19" t="s">
        <v>9</v>
      </c>
    </row>
    <row r="974" spans="1:7" x14ac:dyDescent="0.35">
      <c r="A974" s="41">
        <v>973</v>
      </c>
      <c r="B974" s="17" t="s">
        <v>46</v>
      </c>
      <c r="C974" s="17" t="s">
        <v>368</v>
      </c>
      <c r="D974" s="17" t="s">
        <v>370</v>
      </c>
      <c r="E974" s="18">
        <v>30901005</v>
      </c>
      <c r="F974" s="41">
        <v>215</v>
      </c>
      <c r="G974" s="19" t="s">
        <v>9</v>
      </c>
    </row>
    <row r="975" spans="1:7" x14ac:dyDescent="0.35">
      <c r="A975" s="41">
        <v>974</v>
      </c>
      <c r="B975" s="17" t="s">
        <v>46</v>
      </c>
      <c r="C975" s="17" t="s">
        <v>368</v>
      </c>
      <c r="D975" s="17" t="s">
        <v>370</v>
      </c>
      <c r="E975" s="18">
        <v>30901007</v>
      </c>
      <c r="F975" s="41">
        <v>217</v>
      </c>
      <c r="G975" s="19" t="s">
        <v>9</v>
      </c>
    </row>
    <row r="976" spans="1:7" x14ac:dyDescent="0.35">
      <c r="A976" s="41">
        <v>975</v>
      </c>
      <c r="B976" s="17" t="s">
        <v>46</v>
      </c>
      <c r="C976" s="17" t="s">
        <v>368</v>
      </c>
      <c r="D976" s="17" t="s">
        <v>370</v>
      </c>
      <c r="E976" s="18">
        <v>30901012</v>
      </c>
      <c r="F976" s="41">
        <v>280</v>
      </c>
      <c r="G976" s="19" t="s">
        <v>9</v>
      </c>
    </row>
    <row r="977" spans="1:7" x14ac:dyDescent="0.35">
      <c r="A977" s="41">
        <v>976</v>
      </c>
      <c r="B977" s="17" t="s">
        <v>46</v>
      </c>
      <c r="C977" s="17" t="s">
        <v>368</v>
      </c>
      <c r="D977" s="17" t="s">
        <v>370</v>
      </c>
      <c r="E977" s="18">
        <v>30901013</v>
      </c>
      <c r="F977" s="41">
        <v>311</v>
      </c>
      <c r="G977" s="19" t="s">
        <v>9</v>
      </c>
    </row>
    <row r="978" spans="1:7" x14ac:dyDescent="0.35">
      <c r="A978" s="41">
        <v>977</v>
      </c>
      <c r="B978" s="17" t="s">
        <v>46</v>
      </c>
      <c r="C978" s="17" t="s">
        <v>368</v>
      </c>
      <c r="D978" s="17" t="s">
        <v>370</v>
      </c>
      <c r="E978" s="18">
        <v>30901016</v>
      </c>
      <c r="F978" s="41">
        <v>218</v>
      </c>
      <c r="G978" s="19" t="s">
        <v>9</v>
      </c>
    </row>
    <row r="979" spans="1:7" x14ac:dyDescent="0.35">
      <c r="A979" s="41">
        <v>978</v>
      </c>
      <c r="B979" s="17" t="s">
        <v>46</v>
      </c>
      <c r="C979" s="17" t="s">
        <v>368</v>
      </c>
      <c r="D979" s="17" t="s">
        <v>370</v>
      </c>
      <c r="E979" s="18">
        <v>30901017</v>
      </c>
      <c r="F979" s="41">
        <v>212</v>
      </c>
      <c r="G979" s="19" t="s">
        <v>9</v>
      </c>
    </row>
    <row r="980" spans="1:7" x14ac:dyDescent="0.35">
      <c r="A980" s="41">
        <v>979</v>
      </c>
      <c r="B980" s="17" t="s">
        <v>46</v>
      </c>
      <c r="C980" s="17" t="s">
        <v>368</v>
      </c>
      <c r="D980" s="17" t="s">
        <v>370</v>
      </c>
      <c r="E980" s="18">
        <v>30901030</v>
      </c>
      <c r="F980" s="41">
        <v>205</v>
      </c>
      <c r="G980" s="19" t="s">
        <v>9</v>
      </c>
    </row>
    <row r="981" spans="1:7" x14ac:dyDescent="0.35">
      <c r="A981" s="41">
        <v>980</v>
      </c>
      <c r="B981" s="17" t="s">
        <v>46</v>
      </c>
      <c r="C981" s="17" t="s">
        <v>47</v>
      </c>
      <c r="D981" s="17" t="s">
        <v>288</v>
      </c>
      <c r="E981" s="18">
        <v>34503005</v>
      </c>
      <c r="F981" s="41">
        <v>218</v>
      </c>
      <c r="G981" s="19" t="s">
        <v>9</v>
      </c>
    </row>
    <row r="982" spans="1:7" x14ac:dyDescent="0.35">
      <c r="A982" s="41">
        <v>981</v>
      </c>
      <c r="B982" s="17" t="s">
        <v>46</v>
      </c>
      <c r="C982" s="17" t="s">
        <v>47</v>
      </c>
      <c r="D982" s="17" t="s">
        <v>48</v>
      </c>
      <c r="E982" s="18">
        <v>34502002</v>
      </c>
      <c r="F982" s="41">
        <v>224</v>
      </c>
      <c r="G982" s="19" t="s">
        <v>9</v>
      </c>
    </row>
    <row r="983" spans="1:7" x14ac:dyDescent="0.35">
      <c r="A983" s="41">
        <v>982</v>
      </c>
      <c r="B983" s="17" t="s">
        <v>46</v>
      </c>
      <c r="C983" s="17" t="s">
        <v>47</v>
      </c>
      <c r="D983" s="17" t="s">
        <v>48</v>
      </c>
      <c r="E983" s="18">
        <v>34502005</v>
      </c>
      <c r="F983" s="41">
        <v>269</v>
      </c>
      <c r="G983" s="19" t="s">
        <v>9</v>
      </c>
    </row>
    <row r="984" spans="1:7" x14ac:dyDescent="0.35">
      <c r="A984" s="41">
        <v>983</v>
      </c>
      <c r="B984" s="17" t="s">
        <v>46</v>
      </c>
      <c r="C984" s="17" t="s">
        <v>47</v>
      </c>
      <c r="D984" s="17" t="s">
        <v>48</v>
      </c>
      <c r="E984" s="18">
        <v>34502006</v>
      </c>
      <c r="F984" s="41">
        <v>296</v>
      </c>
      <c r="G984" s="19" t="s">
        <v>27</v>
      </c>
    </row>
    <row r="985" spans="1:7" x14ac:dyDescent="0.35">
      <c r="A985" s="41">
        <v>984</v>
      </c>
      <c r="B985" s="17" t="s">
        <v>46</v>
      </c>
      <c r="C985" s="17" t="s">
        <v>47</v>
      </c>
      <c r="D985" s="17" t="s">
        <v>48</v>
      </c>
      <c r="E985" s="18">
        <v>34502008</v>
      </c>
      <c r="F985" s="41">
        <v>285</v>
      </c>
      <c r="G985" s="19" t="s">
        <v>9</v>
      </c>
    </row>
    <row r="986" spans="1:7" x14ac:dyDescent="0.35">
      <c r="A986" s="41">
        <v>985</v>
      </c>
      <c r="B986" s="17" t="s">
        <v>46</v>
      </c>
      <c r="C986" s="17" t="s">
        <v>47</v>
      </c>
      <c r="D986" s="17" t="s">
        <v>48</v>
      </c>
      <c r="E986" s="18">
        <v>34502010</v>
      </c>
      <c r="F986" s="41">
        <v>214</v>
      </c>
      <c r="G986" s="19" t="s">
        <v>9</v>
      </c>
    </row>
    <row r="987" spans="1:7" x14ac:dyDescent="0.35">
      <c r="A987" s="41">
        <v>986</v>
      </c>
      <c r="B987" s="17" t="s">
        <v>46</v>
      </c>
      <c r="C987" s="17" t="s">
        <v>47</v>
      </c>
      <c r="D987" s="17" t="s">
        <v>48</v>
      </c>
      <c r="E987" s="18">
        <v>34502011</v>
      </c>
      <c r="F987" s="41">
        <v>226</v>
      </c>
      <c r="G987" s="19" t="s">
        <v>9</v>
      </c>
    </row>
    <row r="988" spans="1:7" x14ac:dyDescent="0.35">
      <c r="A988" s="41">
        <v>987</v>
      </c>
      <c r="B988" s="17" t="s">
        <v>46</v>
      </c>
      <c r="C988" s="17" t="s">
        <v>47</v>
      </c>
      <c r="D988" s="17" t="s">
        <v>48</v>
      </c>
      <c r="E988" s="18">
        <v>34502012</v>
      </c>
      <c r="F988" s="41">
        <v>277</v>
      </c>
      <c r="G988" s="19" t="s">
        <v>9</v>
      </c>
    </row>
    <row r="989" spans="1:7" x14ac:dyDescent="0.35">
      <c r="A989" s="41">
        <v>988</v>
      </c>
      <c r="B989" s="17" t="s">
        <v>46</v>
      </c>
      <c r="C989" s="17" t="s">
        <v>47</v>
      </c>
      <c r="D989" s="17" t="s">
        <v>48</v>
      </c>
      <c r="E989" s="18">
        <v>34502014</v>
      </c>
      <c r="F989" s="41">
        <v>265</v>
      </c>
      <c r="G989" s="19" t="s">
        <v>9</v>
      </c>
    </row>
    <row r="990" spans="1:7" x14ac:dyDescent="0.35">
      <c r="A990" s="41">
        <v>989</v>
      </c>
      <c r="B990" s="17" t="s">
        <v>46</v>
      </c>
      <c r="C990" s="17" t="s">
        <v>47</v>
      </c>
      <c r="D990" s="17" t="s">
        <v>287</v>
      </c>
      <c r="E990" s="18">
        <v>34501001</v>
      </c>
      <c r="F990" s="47">
        <v>201</v>
      </c>
      <c r="G990" s="19" t="s">
        <v>9</v>
      </c>
    </row>
    <row r="991" spans="1:7" x14ac:dyDescent="0.35">
      <c r="A991" s="41">
        <v>990</v>
      </c>
      <c r="B991" s="17" t="s">
        <v>46</v>
      </c>
      <c r="C991" s="17" t="s">
        <v>47</v>
      </c>
      <c r="D991" s="17" t="s">
        <v>287</v>
      </c>
      <c r="E991" s="18">
        <v>34501002</v>
      </c>
      <c r="F991" s="41">
        <v>220</v>
      </c>
      <c r="G991" s="19" t="s">
        <v>9</v>
      </c>
    </row>
    <row r="992" spans="1:7" x14ac:dyDescent="0.35">
      <c r="A992" s="41">
        <v>991</v>
      </c>
      <c r="B992" s="17" t="s">
        <v>46</v>
      </c>
      <c r="C992" s="17" t="s">
        <v>47</v>
      </c>
      <c r="D992" s="17" t="s">
        <v>287</v>
      </c>
      <c r="E992" s="18">
        <v>34501003</v>
      </c>
      <c r="F992" s="47">
        <v>276</v>
      </c>
      <c r="G992" s="19" t="s">
        <v>9</v>
      </c>
    </row>
    <row r="993" spans="1:7" x14ac:dyDescent="0.35">
      <c r="A993" s="41">
        <v>992</v>
      </c>
      <c r="B993" s="17" t="s">
        <v>46</v>
      </c>
      <c r="C993" s="17" t="s">
        <v>47</v>
      </c>
      <c r="D993" s="17" t="s">
        <v>287</v>
      </c>
      <c r="E993" s="18">
        <v>34501004</v>
      </c>
      <c r="F993" s="41">
        <v>226</v>
      </c>
      <c r="G993" s="19" t="s">
        <v>9</v>
      </c>
    </row>
    <row r="994" spans="1:7" x14ac:dyDescent="0.35">
      <c r="A994" s="41">
        <v>993</v>
      </c>
      <c r="B994" s="17" t="s">
        <v>46</v>
      </c>
      <c r="C994" s="17" t="s">
        <v>47</v>
      </c>
      <c r="D994" s="17" t="s">
        <v>287</v>
      </c>
      <c r="E994" s="18">
        <v>34501005</v>
      </c>
      <c r="F994" s="47">
        <v>291</v>
      </c>
      <c r="G994" s="19" t="s">
        <v>9</v>
      </c>
    </row>
    <row r="995" spans="1:7" x14ac:dyDescent="0.35">
      <c r="A995" s="41">
        <v>994</v>
      </c>
      <c r="B995" s="17" t="s">
        <v>46</v>
      </c>
      <c r="C995" s="17" t="s">
        <v>47</v>
      </c>
      <c r="D995" s="17" t="s">
        <v>287</v>
      </c>
      <c r="E995" s="18">
        <v>34501006</v>
      </c>
      <c r="F995" s="50">
        <v>426</v>
      </c>
      <c r="G995" s="19" t="s">
        <v>9</v>
      </c>
    </row>
    <row r="996" spans="1:7" x14ac:dyDescent="0.35">
      <c r="A996" s="41">
        <v>995</v>
      </c>
      <c r="B996" s="17" t="s">
        <v>46</v>
      </c>
      <c r="C996" s="17" t="s">
        <v>47</v>
      </c>
      <c r="D996" s="17" t="s">
        <v>287</v>
      </c>
      <c r="E996" s="18">
        <v>34501007</v>
      </c>
      <c r="F996" s="51">
        <v>226</v>
      </c>
      <c r="G996" s="19" t="s">
        <v>9</v>
      </c>
    </row>
    <row r="997" spans="1:7" x14ac:dyDescent="0.35">
      <c r="A997" s="41">
        <v>996</v>
      </c>
      <c r="B997" s="17" t="s">
        <v>46</v>
      </c>
      <c r="C997" s="17" t="s">
        <v>47</v>
      </c>
      <c r="D997" s="17" t="s">
        <v>287</v>
      </c>
      <c r="E997" s="18">
        <v>34501008</v>
      </c>
      <c r="F997" s="50">
        <v>304</v>
      </c>
      <c r="G997" s="19" t="s">
        <v>9</v>
      </c>
    </row>
    <row r="998" spans="1:7" x14ac:dyDescent="0.35">
      <c r="A998" s="41">
        <v>997</v>
      </c>
      <c r="B998" s="17" t="s">
        <v>46</v>
      </c>
      <c r="C998" s="17" t="s">
        <v>47</v>
      </c>
      <c r="D998" s="17" t="s">
        <v>287</v>
      </c>
      <c r="E998" s="18">
        <v>34501009</v>
      </c>
      <c r="F998" s="51">
        <v>284</v>
      </c>
      <c r="G998" s="19" t="s">
        <v>9</v>
      </c>
    </row>
    <row r="999" spans="1:7" x14ac:dyDescent="0.35">
      <c r="A999" s="41">
        <v>998</v>
      </c>
      <c r="B999" s="17" t="s">
        <v>46</v>
      </c>
      <c r="C999" s="17" t="s">
        <v>47</v>
      </c>
      <c r="D999" s="17" t="s">
        <v>287</v>
      </c>
      <c r="E999" s="18">
        <v>34501010</v>
      </c>
      <c r="F999" s="50">
        <v>222</v>
      </c>
      <c r="G999" s="19" t="s">
        <v>9</v>
      </c>
    </row>
    <row r="1000" spans="1:7" x14ac:dyDescent="0.35">
      <c r="A1000" s="41">
        <v>999</v>
      </c>
      <c r="B1000" s="17" t="s">
        <v>46</v>
      </c>
      <c r="C1000" s="17" t="s">
        <v>47</v>
      </c>
      <c r="D1000" s="17" t="s">
        <v>287</v>
      </c>
      <c r="E1000" s="18">
        <v>34501011</v>
      </c>
      <c r="F1000" s="51">
        <v>232</v>
      </c>
      <c r="G1000" s="19" t="s">
        <v>9</v>
      </c>
    </row>
    <row r="1001" spans="1:7" x14ac:dyDescent="0.35">
      <c r="A1001" s="41">
        <v>1000</v>
      </c>
      <c r="B1001" s="17" t="s">
        <v>46</v>
      </c>
      <c r="C1001" s="17" t="s">
        <v>47</v>
      </c>
      <c r="D1001" s="17" t="s">
        <v>287</v>
      </c>
      <c r="E1001" s="18">
        <v>34501013</v>
      </c>
      <c r="F1001" s="51">
        <v>202</v>
      </c>
      <c r="G1001" s="19" t="s">
        <v>9</v>
      </c>
    </row>
    <row r="1002" spans="1:7" x14ac:dyDescent="0.35">
      <c r="A1002" s="41">
        <v>1001</v>
      </c>
      <c r="B1002" s="17" t="s">
        <v>46</v>
      </c>
      <c r="C1002" s="17" t="s">
        <v>47</v>
      </c>
      <c r="D1002" s="17" t="s">
        <v>287</v>
      </c>
      <c r="E1002" s="18">
        <v>34501014</v>
      </c>
      <c r="F1002" s="50">
        <v>295</v>
      </c>
      <c r="G1002" s="19" t="s">
        <v>9</v>
      </c>
    </row>
    <row r="1003" spans="1:7" x14ac:dyDescent="0.35">
      <c r="A1003" s="41">
        <v>1002</v>
      </c>
      <c r="B1003" s="17" t="s">
        <v>46</v>
      </c>
      <c r="C1003" s="17" t="s">
        <v>47</v>
      </c>
      <c r="D1003" s="17" t="s">
        <v>287</v>
      </c>
      <c r="E1003" s="18">
        <v>34501015</v>
      </c>
      <c r="F1003" s="51">
        <v>219</v>
      </c>
      <c r="G1003" s="19" t="s">
        <v>9</v>
      </c>
    </row>
    <row r="1004" spans="1:7" x14ac:dyDescent="0.35">
      <c r="A1004" s="41">
        <v>1003</v>
      </c>
      <c r="B1004" s="17" t="s">
        <v>46</v>
      </c>
      <c r="C1004" s="17" t="s">
        <v>371</v>
      </c>
      <c r="D1004" s="17" t="s">
        <v>372</v>
      </c>
      <c r="E1004" s="18">
        <v>30703003</v>
      </c>
      <c r="F1004" s="50">
        <v>302</v>
      </c>
      <c r="G1004" s="19" t="s">
        <v>9</v>
      </c>
    </row>
    <row r="1005" spans="1:7" x14ac:dyDescent="0.35">
      <c r="A1005" s="41">
        <v>1004</v>
      </c>
      <c r="B1005" s="17" t="s">
        <v>46</v>
      </c>
      <c r="C1005" s="17" t="s">
        <v>371</v>
      </c>
      <c r="D1005" s="17" t="s">
        <v>373</v>
      </c>
      <c r="E1005" s="18">
        <v>30704003</v>
      </c>
      <c r="F1005" s="50">
        <v>200</v>
      </c>
      <c r="G1005" s="19" t="s">
        <v>9</v>
      </c>
    </row>
    <row r="1006" spans="1:7" x14ac:dyDescent="0.35">
      <c r="A1006" s="41">
        <v>1005</v>
      </c>
      <c r="B1006" s="17" t="s">
        <v>46</v>
      </c>
      <c r="C1006" s="17" t="s">
        <v>371</v>
      </c>
      <c r="D1006" s="17" t="s">
        <v>374</v>
      </c>
      <c r="E1006" s="18">
        <v>30706002</v>
      </c>
      <c r="F1006" s="50">
        <v>306</v>
      </c>
      <c r="G1006" s="19" t="s">
        <v>9</v>
      </c>
    </row>
    <row r="1007" spans="1:7" x14ac:dyDescent="0.35">
      <c r="A1007" s="41">
        <v>1006</v>
      </c>
      <c r="B1007" s="17" t="s">
        <v>46</v>
      </c>
      <c r="C1007" s="17" t="s">
        <v>371</v>
      </c>
      <c r="D1007" s="17" t="s">
        <v>374</v>
      </c>
      <c r="E1007" s="18">
        <v>30706005</v>
      </c>
      <c r="F1007" s="50">
        <v>310</v>
      </c>
      <c r="G1007" s="19" t="s">
        <v>9</v>
      </c>
    </row>
    <row r="1008" spans="1:7" x14ac:dyDescent="0.35">
      <c r="A1008" s="41">
        <v>1007</v>
      </c>
      <c r="B1008" s="17" t="s">
        <v>46</v>
      </c>
      <c r="C1008" s="17" t="s">
        <v>375</v>
      </c>
      <c r="D1008" s="17" t="s">
        <v>376</v>
      </c>
      <c r="E1008" s="18">
        <v>30806001</v>
      </c>
      <c r="F1008" s="50">
        <v>216</v>
      </c>
      <c r="G1008" s="19" t="s">
        <v>27</v>
      </c>
    </row>
    <row r="1009" spans="1:7" x14ac:dyDescent="0.35">
      <c r="A1009" s="41">
        <v>1008</v>
      </c>
      <c r="B1009" s="17" t="s">
        <v>46</v>
      </c>
      <c r="C1009" s="17" t="s">
        <v>375</v>
      </c>
      <c r="D1009" s="17" t="s">
        <v>377</v>
      </c>
      <c r="E1009" s="18">
        <v>30805004</v>
      </c>
      <c r="F1009" s="50">
        <v>220</v>
      </c>
      <c r="G1009" s="19" t="s">
        <v>9</v>
      </c>
    </row>
    <row r="1010" spans="1:7" x14ac:dyDescent="0.35">
      <c r="A1010" s="41">
        <v>1009</v>
      </c>
      <c r="B1010" s="17" t="s">
        <v>46</v>
      </c>
      <c r="C1010" s="17" t="s">
        <v>375</v>
      </c>
      <c r="D1010" s="17" t="s">
        <v>377</v>
      </c>
      <c r="E1010" s="18">
        <v>30805006</v>
      </c>
      <c r="F1010" s="50">
        <v>206</v>
      </c>
      <c r="G1010" s="19" t="s">
        <v>9</v>
      </c>
    </row>
    <row r="1011" spans="1:7" x14ac:dyDescent="0.35">
      <c r="A1011" s="41">
        <v>1010</v>
      </c>
      <c r="B1011" s="17" t="s">
        <v>87</v>
      </c>
      <c r="C1011" s="17" t="s">
        <v>345</v>
      </c>
      <c r="D1011" s="17" t="s">
        <v>295</v>
      </c>
      <c r="E1011" s="18">
        <v>19100085</v>
      </c>
      <c r="F1011" s="40">
        <v>200</v>
      </c>
      <c r="G1011" s="20" t="s">
        <v>9</v>
      </c>
    </row>
    <row r="1012" spans="1:7" x14ac:dyDescent="0.35">
      <c r="A1012" s="41">
        <v>1011</v>
      </c>
      <c r="B1012" s="17" t="s">
        <v>87</v>
      </c>
      <c r="C1012" s="17" t="s">
        <v>345</v>
      </c>
      <c r="D1012" s="17" t="s">
        <v>304</v>
      </c>
      <c r="E1012" s="18">
        <v>19100007</v>
      </c>
      <c r="F1012" s="40">
        <v>202</v>
      </c>
      <c r="G1012" s="20" t="s">
        <v>9</v>
      </c>
    </row>
    <row r="1013" spans="1:7" x14ac:dyDescent="0.35">
      <c r="A1013" s="41">
        <v>1012</v>
      </c>
      <c r="B1013" s="17" t="s">
        <v>87</v>
      </c>
      <c r="C1013" s="17" t="s">
        <v>345</v>
      </c>
      <c r="D1013" s="17" t="s">
        <v>296</v>
      </c>
      <c r="E1013" s="18">
        <v>19100009</v>
      </c>
      <c r="F1013" s="40">
        <v>206</v>
      </c>
      <c r="G1013" s="20" t="s">
        <v>9</v>
      </c>
    </row>
    <row r="1014" spans="1:7" x14ac:dyDescent="0.35">
      <c r="A1014" s="41">
        <v>1013</v>
      </c>
      <c r="B1014" s="17" t="s">
        <v>87</v>
      </c>
      <c r="C1014" s="17" t="s">
        <v>345</v>
      </c>
      <c r="D1014" s="17" t="s">
        <v>298</v>
      </c>
      <c r="E1014" s="18">
        <v>19100037</v>
      </c>
      <c r="F1014" s="40">
        <v>204</v>
      </c>
      <c r="G1014" s="20" t="s">
        <v>9</v>
      </c>
    </row>
    <row r="1015" spans="1:7" x14ac:dyDescent="0.35">
      <c r="A1015" s="41">
        <v>1014</v>
      </c>
      <c r="B1015" s="17" t="s">
        <v>87</v>
      </c>
      <c r="C1015" s="17" t="s">
        <v>345</v>
      </c>
      <c r="D1015" s="17" t="s">
        <v>298</v>
      </c>
      <c r="E1015" s="18">
        <v>19100039</v>
      </c>
      <c r="F1015" s="40">
        <v>201</v>
      </c>
      <c r="G1015" s="20" t="s">
        <v>9</v>
      </c>
    </row>
    <row r="1016" spans="1:7" x14ac:dyDescent="0.35">
      <c r="A1016" s="41">
        <v>1015</v>
      </c>
      <c r="B1016" s="17" t="s">
        <v>87</v>
      </c>
      <c r="C1016" s="17" t="s">
        <v>345</v>
      </c>
      <c r="D1016" s="17" t="s">
        <v>298</v>
      </c>
      <c r="E1016" s="18">
        <v>19100040</v>
      </c>
      <c r="F1016" s="40">
        <v>207</v>
      </c>
      <c r="G1016" s="20" t="s">
        <v>9</v>
      </c>
    </row>
    <row r="1017" spans="1:7" x14ac:dyDescent="0.35">
      <c r="A1017" s="41">
        <v>1016</v>
      </c>
      <c r="B1017" s="17" t="s">
        <v>87</v>
      </c>
      <c r="C1017" s="17" t="s">
        <v>345</v>
      </c>
      <c r="D1017" s="17" t="s">
        <v>300</v>
      </c>
      <c r="E1017" s="18">
        <v>19100087</v>
      </c>
      <c r="F1017" s="40">
        <v>214</v>
      </c>
      <c r="G1017" s="20" t="s">
        <v>9</v>
      </c>
    </row>
    <row r="1018" spans="1:7" x14ac:dyDescent="0.35">
      <c r="A1018" s="41">
        <v>1017</v>
      </c>
      <c r="B1018" s="17" t="s">
        <v>87</v>
      </c>
      <c r="C1018" s="17" t="s">
        <v>345</v>
      </c>
      <c r="D1018" s="17" t="s">
        <v>300</v>
      </c>
      <c r="E1018" s="18">
        <v>19100094</v>
      </c>
      <c r="F1018" s="40">
        <v>213</v>
      </c>
      <c r="G1018" s="20" t="s">
        <v>9</v>
      </c>
    </row>
    <row r="1019" spans="1:7" x14ac:dyDescent="0.35">
      <c r="A1019" s="41">
        <v>1018</v>
      </c>
      <c r="B1019" s="17" t="s">
        <v>87</v>
      </c>
      <c r="C1019" s="17" t="s">
        <v>345</v>
      </c>
      <c r="D1019" s="17" t="s">
        <v>300</v>
      </c>
      <c r="E1019" s="18">
        <v>19100095</v>
      </c>
      <c r="F1019" s="40">
        <v>222</v>
      </c>
      <c r="G1019" s="20" t="s">
        <v>9</v>
      </c>
    </row>
    <row r="1020" spans="1:7" x14ac:dyDescent="0.35">
      <c r="A1020" s="41">
        <v>1019</v>
      </c>
      <c r="B1020" s="17" t="s">
        <v>87</v>
      </c>
      <c r="C1020" s="17" t="s">
        <v>345</v>
      </c>
      <c r="D1020" s="17" t="s">
        <v>300</v>
      </c>
      <c r="E1020" s="18">
        <v>19100096</v>
      </c>
      <c r="F1020" s="40">
        <v>204</v>
      </c>
      <c r="G1020" s="20" t="s">
        <v>9</v>
      </c>
    </row>
    <row r="1021" spans="1:7" x14ac:dyDescent="0.35">
      <c r="A1021" s="41">
        <v>1020</v>
      </c>
      <c r="B1021" s="17" t="s">
        <v>87</v>
      </c>
      <c r="C1021" s="17" t="s">
        <v>345</v>
      </c>
      <c r="D1021" s="17" t="s">
        <v>300</v>
      </c>
      <c r="E1021" s="18">
        <v>19100098</v>
      </c>
      <c r="F1021" s="40">
        <v>212</v>
      </c>
      <c r="G1021" s="20" t="s">
        <v>9</v>
      </c>
    </row>
    <row r="1022" spans="1:7" x14ac:dyDescent="0.35">
      <c r="A1022" s="41">
        <v>1021</v>
      </c>
      <c r="B1022" s="17" t="s">
        <v>87</v>
      </c>
      <c r="C1022" s="17" t="s">
        <v>345</v>
      </c>
      <c r="D1022" s="17" t="s">
        <v>300</v>
      </c>
      <c r="E1022" s="18">
        <v>19100099</v>
      </c>
      <c r="F1022" s="40">
        <v>204</v>
      </c>
      <c r="G1022" s="20" t="s">
        <v>9</v>
      </c>
    </row>
    <row r="1023" spans="1:7" x14ac:dyDescent="0.35">
      <c r="A1023" s="41">
        <v>1022</v>
      </c>
      <c r="B1023" s="17" t="s">
        <v>87</v>
      </c>
      <c r="C1023" s="17" t="s">
        <v>345</v>
      </c>
      <c r="D1023" s="17" t="s">
        <v>301</v>
      </c>
      <c r="E1023" s="18">
        <v>19100043</v>
      </c>
      <c r="F1023" s="40">
        <v>203</v>
      </c>
      <c r="G1023" s="20" t="s">
        <v>9</v>
      </c>
    </row>
    <row r="1024" spans="1:7" x14ac:dyDescent="0.35">
      <c r="A1024" s="41">
        <v>1023</v>
      </c>
      <c r="B1024" s="17" t="s">
        <v>87</v>
      </c>
      <c r="C1024" s="17" t="s">
        <v>345</v>
      </c>
      <c r="D1024" s="17" t="s">
        <v>302</v>
      </c>
      <c r="E1024" s="18">
        <v>19100052</v>
      </c>
      <c r="F1024" s="40">
        <v>202</v>
      </c>
      <c r="G1024" s="20" t="s">
        <v>9</v>
      </c>
    </row>
    <row r="1025" spans="1:7" x14ac:dyDescent="0.35">
      <c r="A1025" s="41">
        <v>1024</v>
      </c>
      <c r="B1025" s="17" t="s">
        <v>87</v>
      </c>
      <c r="C1025" s="17" t="s">
        <v>345</v>
      </c>
      <c r="D1025" s="17" t="s">
        <v>303</v>
      </c>
      <c r="E1025" s="18">
        <v>19100057</v>
      </c>
      <c r="F1025" s="40">
        <v>219</v>
      </c>
      <c r="G1025" s="20" t="s">
        <v>9</v>
      </c>
    </row>
    <row r="1026" spans="1:7" x14ac:dyDescent="0.35">
      <c r="A1026" s="41">
        <v>1025</v>
      </c>
      <c r="B1026" s="17" t="s">
        <v>87</v>
      </c>
      <c r="C1026" s="17" t="s">
        <v>345</v>
      </c>
      <c r="D1026" s="17" t="s">
        <v>303</v>
      </c>
      <c r="E1026" s="18">
        <v>19100115</v>
      </c>
      <c r="F1026" s="40">
        <v>205</v>
      </c>
      <c r="G1026" s="20" t="s">
        <v>9</v>
      </c>
    </row>
    <row r="1027" spans="1:7" x14ac:dyDescent="0.35">
      <c r="A1027" s="41">
        <v>1026</v>
      </c>
      <c r="B1027" s="17" t="s">
        <v>87</v>
      </c>
      <c r="C1027" s="17" t="s">
        <v>391</v>
      </c>
      <c r="D1027" s="17" t="s">
        <v>312</v>
      </c>
      <c r="E1027" s="18">
        <v>10205002</v>
      </c>
      <c r="F1027" s="40">
        <v>211</v>
      </c>
      <c r="G1027" s="20" t="s">
        <v>9</v>
      </c>
    </row>
    <row r="1028" spans="1:7" x14ac:dyDescent="0.35">
      <c r="A1028" s="41">
        <v>1027</v>
      </c>
      <c r="B1028" s="17" t="s">
        <v>87</v>
      </c>
      <c r="C1028" s="17" t="s">
        <v>391</v>
      </c>
      <c r="D1028" s="17" t="s">
        <v>312</v>
      </c>
      <c r="E1028" s="18">
        <v>10205016</v>
      </c>
      <c r="F1028" s="40">
        <v>203</v>
      </c>
      <c r="G1028" s="20" t="s">
        <v>9</v>
      </c>
    </row>
    <row r="1029" spans="1:7" x14ac:dyDescent="0.35">
      <c r="A1029" s="41">
        <v>1028</v>
      </c>
      <c r="B1029" s="17" t="s">
        <v>87</v>
      </c>
      <c r="C1029" s="17" t="s">
        <v>391</v>
      </c>
      <c r="D1029" s="17" t="s">
        <v>312</v>
      </c>
      <c r="E1029" s="18">
        <v>10205017</v>
      </c>
      <c r="F1029" s="40">
        <v>202</v>
      </c>
      <c r="G1029" s="20" t="s">
        <v>9</v>
      </c>
    </row>
    <row r="1030" spans="1:7" x14ac:dyDescent="0.35">
      <c r="A1030" s="41">
        <v>1029</v>
      </c>
      <c r="B1030" s="17" t="s">
        <v>87</v>
      </c>
      <c r="C1030" s="17" t="s">
        <v>391</v>
      </c>
      <c r="D1030" s="17" t="s">
        <v>313</v>
      </c>
      <c r="E1030" s="18">
        <v>10203008</v>
      </c>
      <c r="F1030" s="40">
        <v>205</v>
      </c>
      <c r="G1030" s="20" t="s">
        <v>9</v>
      </c>
    </row>
    <row r="1031" spans="1:7" x14ac:dyDescent="0.35">
      <c r="A1031" s="41">
        <v>1030</v>
      </c>
      <c r="B1031" s="17" t="s">
        <v>87</v>
      </c>
      <c r="C1031" s="17" t="s">
        <v>391</v>
      </c>
      <c r="D1031" s="17" t="s">
        <v>392</v>
      </c>
      <c r="E1031" s="18">
        <v>10206005</v>
      </c>
      <c r="F1031" s="40">
        <v>223</v>
      </c>
      <c r="G1031" s="20" t="s">
        <v>27</v>
      </c>
    </row>
    <row r="1032" spans="1:7" x14ac:dyDescent="0.35">
      <c r="A1032" s="41">
        <v>1031</v>
      </c>
      <c r="B1032" s="17" t="s">
        <v>87</v>
      </c>
      <c r="C1032" s="17" t="s">
        <v>391</v>
      </c>
      <c r="D1032" s="17" t="s">
        <v>392</v>
      </c>
      <c r="E1032" s="18">
        <v>10206009</v>
      </c>
      <c r="F1032" s="40">
        <v>226</v>
      </c>
      <c r="G1032" s="20" t="s">
        <v>27</v>
      </c>
    </row>
    <row r="1033" spans="1:7" x14ac:dyDescent="0.35">
      <c r="A1033" s="41">
        <v>1032</v>
      </c>
      <c r="B1033" s="17" t="s">
        <v>87</v>
      </c>
      <c r="C1033" s="17" t="s">
        <v>391</v>
      </c>
      <c r="D1033" s="17" t="s">
        <v>392</v>
      </c>
      <c r="E1033" s="18">
        <v>10206010</v>
      </c>
      <c r="F1033" s="40">
        <v>285</v>
      </c>
      <c r="G1033" s="20" t="s">
        <v>9</v>
      </c>
    </row>
    <row r="1034" spans="1:7" x14ac:dyDescent="0.35">
      <c r="A1034" s="41">
        <v>1033</v>
      </c>
      <c r="B1034" s="17" t="s">
        <v>87</v>
      </c>
      <c r="C1034" s="17" t="s">
        <v>391</v>
      </c>
      <c r="D1034" s="17" t="s">
        <v>317</v>
      </c>
      <c r="E1034" s="18">
        <v>10202001</v>
      </c>
      <c r="F1034" s="50">
        <v>200</v>
      </c>
      <c r="G1034" s="20" t="s">
        <v>9</v>
      </c>
    </row>
    <row r="1035" spans="1:7" x14ac:dyDescent="0.35">
      <c r="A1035" s="41">
        <v>1034</v>
      </c>
      <c r="B1035" s="17" t="s">
        <v>87</v>
      </c>
      <c r="C1035" s="17" t="s">
        <v>393</v>
      </c>
      <c r="D1035" s="17" t="s">
        <v>311</v>
      </c>
      <c r="E1035" s="18">
        <v>10301005</v>
      </c>
      <c r="F1035" s="40">
        <v>208</v>
      </c>
      <c r="G1035" s="20" t="s">
        <v>9</v>
      </c>
    </row>
    <row r="1036" spans="1:7" x14ac:dyDescent="0.35">
      <c r="A1036" s="41">
        <v>1035</v>
      </c>
      <c r="B1036" s="17" t="s">
        <v>87</v>
      </c>
      <c r="C1036" s="17" t="s">
        <v>393</v>
      </c>
      <c r="D1036" s="17" t="s">
        <v>311</v>
      </c>
      <c r="E1036" s="18">
        <v>10301006</v>
      </c>
      <c r="F1036" s="40">
        <v>200</v>
      </c>
      <c r="G1036" s="20" t="s">
        <v>9</v>
      </c>
    </row>
    <row r="1037" spans="1:7" x14ac:dyDescent="0.35">
      <c r="A1037" s="41">
        <v>1036</v>
      </c>
      <c r="B1037" s="17" t="s">
        <v>87</v>
      </c>
      <c r="C1037" s="17" t="s">
        <v>394</v>
      </c>
      <c r="D1037" s="17" t="s">
        <v>318</v>
      </c>
      <c r="E1037" s="18">
        <v>10404015</v>
      </c>
      <c r="F1037" s="40">
        <v>202</v>
      </c>
      <c r="G1037" s="20" t="s">
        <v>9</v>
      </c>
    </row>
    <row r="1038" spans="1:7" x14ac:dyDescent="0.35">
      <c r="A1038" s="41">
        <v>1037</v>
      </c>
      <c r="B1038" s="17" t="s">
        <v>87</v>
      </c>
      <c r="C1038" s="17" t="s">
        <v>394</v>
      </c>
      <c r="D1038" s="17" t="s">
        <v>318</v>
      </c>
      <c r="E1038" s="18">
        <v>10404016</v>
      </c>
      <c r="F1038" s="40">
        <v>209</v>
      </c>
      <c r="G1038" s="20" t="s">
        <v>27</v>
      </c>
    </row>
    <row r="1039" spans="1:7" x14ac:dyDescent="0.35">
      <c r="A1039" s="41">
        <v>1038</v>
      </c>
      <c r="B1039" s="17" t="s">
        <v>87</v>
      </c>
      <c r="C1039" s="17" t="s">
        <v>394</v>
      </c>
      <c r="D1039" s="17" t="s">
        <v>318</v>
      </c>
      <c r="E1039" s="18">
        <v>10404027</v>
      </c>
      <c r="F1039" s="40">
        <v>202</v>
      </c>
      <c r="G1039" s="20" t="s">
        <v>9</v>
      </c>
    </row>
  </sheetData>
  <autoFilter ref="A1:G1039" xr:uid="{5990998A-C999-4ED7-A789-614C7C56C750}">
    <sortState ref="A2:G1039">
      <sortCondition ref="B1:B103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2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Secretary General Office</cp:lastModifiedBy>
  <dcterms:created xsi:type="dcterms:W3CDTF">2025-02-24T13:10:47Z</dcterms:created>
  <dcterms:modified xsi:type="dcterms:W3CDTF">2025-10-04T17:13:38Z</dcterms:modified>
</cp:coreProperties>
</file>