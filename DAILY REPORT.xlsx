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GO 2023 ELECTIONS\Internal Communication\2025\SRPA\"/>
    </mc:Choice>
  </mc:AlternateContent>
  <xr:revisionPtr revIDLastSave="0" documentId="13_ncr:1_{24916240-3A86-4C04-B573-D97C4050B41D}" xr6:coauthVersionLast="36" xr6:coauthVersionMax="36" xr10:uidLastSave="{00000000-0000-0000-0000-000000000000}"/>
  <bookViews>
    <workbookView xWindow="0" yWindow="0" windowWidth="20490" windowHeight="7250" xr2:uid="{3A5CA6B8-6FCD-40A7-80CD-C8C571F4A2A5}"/>
  </bookViews>
  <sheets>
    <sheet name="SHEET 2" sheetId="2" r:id="rId1"/>
    <sheet name="Sheet1" sheetId="4" r:id="rId2"/>
  </sheets>
  <definedNames>
    <definedName name="_xlnm._FilterDatabase" localSheetId="1" hidden="1">Sheet1!$A$1:$F$287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3" i="4" l="1"/>
  <c r="F103" i="4" l="1"/>
  <c r="F242" i="4" l="1"/>
  <c r="F248" i="4"/>
  <c r="F233" i="4"/>
  <c r="F244" i="4"/>
  <c r="B239" i="4" l="1"/>
  <c r="B251" i="4"/>
  <c r="F57" i="4" l="1"/>
  <c r="F114" i="4"/>
  <c r="E236" i="4"/>
  <c r="E257" i="4" l="1"/>
  <c r="B262" i="4"/>
  <c r="B285" i="4" l="1"/>
  <c r="E278" i="4" l="1"/>
  <c r="E279" i="4"/>
  <c r="E237" i="4"/>
  <c r="F278" i="4"/>
  <c r="G25" i="2" l="1"/>
  <c r="G17" i="2"/>
  <c r="G18" i="2"/>
  <c r="G19" i="2"/>
  <c r="G20" i="2"/>
  <c r="G21" i="2"/>
  <c r="G22" i="2"/>
  <c r="G23" i="2"/>
  <c r="G24" i="2"/>
  <c r="G16" i="2"/>
  <c r="F16" i="2"/>
  <c r="F82" i="4" l="1"/>
  <c r="D68" i="4" l="1"/>
  <c r="D63" i="4"/>
  <c r="D56" i="4"/>
  <c r="D51" i="4"/>
  <c r="D71" i="4"/>
  <c r="D72" i="4" l="1"/>
  <c r="D262" i="4"/>
  <c r="E102" i="4" l="1"/>
  <c r="F8" i="4" l="1"/>
  <c r="F7" i="4"/>
  <c r="F13" i="4"/>
  <c r="F49" i="4"/>
  <c r="F70" i="4"/>
  <c r="F99" i="4"/>
  <c r="F110" i="4"/>
  <c r="F117" i="4"/>
  <c r="F136" i="4"/>
  <c r="F142" i="4"/>
  <c r="F150" i="4"/>
  <c r="F193" i="4"/>
  <c r="F212" i="4"/>
  <c r="F222" i="4"/>
  <c r="F250" i="4"/>
  <c r="F249" i="4"/>
  <c r="F263" i="4"/>
  <c r="F268" i="4"/>
  <c r="F275" i="4"/>
  <c r="F282" i="4"/>
  <c r="F284" i="4"/>
  <c r="F3" i="4"/>
  <c r="F4" i="4"/>
  <c r="F5" i="4"/>
  <c r="F9" i="4"/>
  <c r="F11" i="4"/>
  <c r="F14" i="4"/>
  <c r="F15" i="4"/>
  <c r="F16" i="4"/>
  <c r="F17" i="4"/>
  <c r="F19" i="4"/>
  <c r="F20" i="4"/>
  <c r="F21" i="4"/>
  <c r="F22" i="4"/>
  <c r="F23" i="4"/>
  <c r="F24" i="4"/>
  <c r="F26" i="4"/>
  <c r="F27" i="4"/>
  <c r="F28" i="4"/>
  <c r="F30" i="4"/>
  <c r="F31" i="4"/>
  <c r="F32" i="4"/>
  <c r="F33" i="4"/>
  <c r="F34" i="4"/>
  <c r="F36" i="4"/>
  <c r="F37" i="4"/>
  <c r="F38" i="4"/>
  <c r="F39" i="4"/>
  <c r="F41" i="4"/>
  <c r="F42" i="4"/>
  <c r="F43" i="4"/>
  <c r="F44" i="4"/>
  <c r="F45" i="4"/>
  <c r="F46" i="4"/>
  <c r="F52" i="4"/>
  <c r="F53" i="4"/>
  <c r="F55" i="4"/>
  <c r="F60" i="4"/>
  <c r="F65" i="4"/>
  <c r="F66" i="4"/>
  <c r="F69" i="4"/>
  <c r="F73" i="4"/>
  <c r="F74" i="4"/>
  <c r="F75" i="4"/>
  <c r="F77" i="4"/>
  <c r="F78" i="4"/>
  <c r="F79" i="4"/>
  <c r="F81" i="4"/>
  <c r="F83" i="4"/>
  <c r="F84" i="4"/>
  <c r="F85" i="4"/>
  <c r="F87" i="4"/>
  <c r="F88" i="4"/>
  <c r="F89" i="4"/>
  <c r="F90" i="4"/>
  <c r="F91" i="4"/>
  <c r="F92" i="4"/>
  <c r="F93" i="4"/>
  <c r="F95" i="4"/>
  <c r="F96" i="4"/>
  <c r="F97" i="4"/>
  <c r="F98" i="4"/>
  <c r="F102" i="4"/>
  <c r="F104" i="4"/>
  <c r="F105" i="4"/>
  <c r="F107" i="4"/>
  <c r="F108" i="4"/>
  <c r="F109" i="4"/>
  <c r="F112" i="4"/>
  <c r="F115" i="4"/>
  <c r="F118" i="4"/>
  <c r="F120" i="4"/>
  <c r="F121" i="4"/>
  <c r="F122" i="4"/>
  <c r="F123" i="4"/>
  <c r="F124" i="4"/>
  <c r="F126" i="4"/>
  <c r="F127" i="4"/>
  <c r="F128" i="4"/>
  <c r="F129" i="4"/>
  <c r="F131" i="4"/>
  <c r="F132" i="4"/>
  <c r="F133" i="4"/>
  <c r="F134" i="4"/>
  <c r="F137" i="4"/>
  <c r="F138" i="4"/>
  <c r="F139" i="4"/>
  <c r="F143" i="4"/>
  <c r="F144" i="4"/>
  <c r="F146" i="4"/>
  <c r="F147" i="4"/>
  <c r="F148" i="4"/>
  <c r="F151" i="4"/>
  <c r="F152" i="4"/>
  <c r="F154" i="4"/>
  <c r="F155" i="4"/>
  <c r="F156" i="4"/>
  <c r="F157" i="4"/>
  <c r="F158" i="4"/>
  <c r="F161" i="4"/>
  <c r="F162" i="4"/>
  <c r="F163" i="4"/>
  <c r="F164" i="4"/>
  <c r="F165" i="4"/>
  <c r="F167" i="4"/>
  <c r="F168" i="4"/>
  <c r="F169" i="4"/>
  <c r="F170" i="4"/>
  <c r="F172" i="4"/>
  <c r="F173" i="4"/>
  <c r="F174" i="4"/>
  <c r="F175" i="4"/>
  <c r="F177" i="4"/>
  <c r="F179" i="4"/>
  <c r="F183" i="4"/>
  <c r="F184" i="4"/>
  <c r="F185" i="4"/>
  <c r="F186" i="4"/>
  <c r="F189" i="4"/>
  <c r="F190" i="4"/>
  <c r="F191" i="4"/>
  <c r="F192" i="4"/>
  <c r="F194" i="4"/>
  <c r="F196" i="4"/>
  <c r="F197" i="4"/>
  <c r="F198" i="4"/>
  <c r="F199" i="4"/>
  <c r="F200" i="4"/>
  <c r="F201" i="4"/>
  <c r="F203" i="4"/>
  <c r="F204" i="4"/>
  <c r="F206" i="4"/>
  <c r="F207" i="4"/>
  <c r="F210" i="4"/>
  <c r="F211" i="4"/>
  <c r="F213" i="4"/>
  <c r="F215" i="4"/>
  <c r="F216" i="4"/>
  <c r="F217" i="4"/>
  <c r="F218" i="4"/>
  <c r="F219" i="4"/>
  <c r="F223" i="4"/>
  <c r="F224" i="4"/>
  <c r="F226" i="4"/>
  <c r="F227" i="4"/>
  <c r="F228" i="4"/>
  <c r="F231" i="4"/>
  <c r="F232" i="4"/>
  <c r="F245" i="4"/>
  <c r="F253" i="4"/>
  <c r="F254" i="4"/>
  <c r="F255" i="4"/>
  <c r="F256" i="4"/>
  <c r="F258" i="4"/>
  <c r="F259" i="4"/>
  <c r="F260" i="4"/>
  <c r="F261" i="4"/>
  <c r="F265" i="4"/>
  <c r="F266" i="4"/>
  <c r="F269" i="4"/>
  <c r="F270" i="4"/>
  <c r="F273" i="4"/>
  <c r="F274" i="4"/>
  <c r="F276" i="4"/>
  <c r="F279" i="4"/>
  <c r="F280" i="4"/>
  <c r="F281" i="4"/>
  <c r="F283" i="4"/>
  <c r="F2" i="4"/>
  <c r="F17" i="2" l="1"/>
  <c r="F18" i="2"/>
  <c r="F19" i="2"/>
  <c r="F20" i="2"/>
  <c r="F21" i="2"/>
  <c r="F22" i="2"/>
  <c r="F23" i="2"/>
  <c r="F24" i="2"/>
  <c r="D25" i="2" l="1"/>
  <c r="F25" i="2" s="1"/>
  <c r="C25" i="2"/>
  <c r="E25" i="2" l="1"/>
  <c r="B267" i="4"/>
  <c r="E263" i="4"/>
  <c r="B271" i="4"/>
  <c r="B277" i="4"/>
  <c r="B286" i="4" l="1"/>
  <c r="C10" i="2" s="1"/>
  <c r="B100" i="4"/>
  <c r="B86" i="4"/>
  <c r="B80" i="4"/>
  <c r="B76" i="4"/>
  <c r="C287" i="4"/>
  <c r="D140" i="4"/>
  <c r="E7" i="4" l="1"/>
  <c r="E8" i="4"/>
  <c r="E13" i="4"/>
  <c r="E49" i="4"/>
  <c r="E54" i="4"/>
  <c r="E70" i="4"/>
  <c r="E99" i="4"/>
  <c r="E110" i="4"/>
  <c r="E117" i="4"/>
  <c r="E136" i="4"/>
  <c r="E141" i="4"/>
  <c r="E142" i="4"/>
  <c r="E150" i="4"/>
  <c r="E193" i="4"/>
  <c r="E212" i="4"/>
  <c r="E222" i="4"/>
  <c r="E284" i="4"/>
  <c r="E282" i="4"/>
  <c r="E275" i="4"/>
  <c r="E268" i="4"/>
  <c r="E280" i="4"/>
  <c r="E281" i="4"/>
  <c r="E283" i="4"/>
  <c r="E273" i="4"/>
  <c r="E274" i="4"/>
  <c r="E276" i="4"/>
  <c r="E272" i="4"/>
  <c r="E269" i="4"/>
  <c r="E270" i="4"/>
  <c r="E264" i="4"/>
  <c r="E265" i="4"/>
  <c r="E266" i="4"/>
  <c r="E254" i="4"/>
  <c r="E255" i="4"/>
  <c r="E256" i="4"/>
  <c r="E258" i="4"/>
  <c r="E259" i="4"/>
  <c r="E260" i="4"/>
  <c r="E261" i="4"/>
  <c r="E253" i="4"/>
  <c r="E242" i="4"/>
  <c r="E250" i="4"/>
  <c r="E249" i="4"/>
  <c r="E248" i="4"/>
  <c r="E245" i="4"/>
  <c r="E246" i="4"/>
  <c r="E244" i="4"/>
  <c r="E233" i="4"/>
  <c r="E238" i="4"/>
  <c r="E235" i="4"/>
  <c r="E241" i="4"/>
  <c r="E232" i="4"/>
  <c r="E240" i="4"/>
  <c r="E231" i="4"/>
  <c r="E227" i="4"/>
  <c r="E228" i="4"/>
  <c r="E226" i="4"/>
  <c r="E223" i="4"/>
  <c r="E224" i="4"/>
  <c r="E216" i="4"/>
  <c r="E217" i="4"/>
  <c r="E218" i="4"/>
  <c r="E219" i="4"/>
  <c r="E211" i="4"/>
  <c r="E213" i="4"/>
  <c r="E221" i="4"/>
  <c r="E215" i="4"/>
  <c r="E210" i="4"/>
  <c r="E207" i="4"/>
  <c r="E206" i="4"/>
  <c r="E204" i="4"/>
  <c r="E197" i="4"/>
  <c r="E198" i="4"/>
  <c r="E199" i="4"/>
  <c r="E200" i="4"/>
  <c r="E201" i="4"/>
  <c r="E190" i="4"/>
  <c r="E191" i="4"/>
  <c r="E192" i="4"/>
  <c r="E194" i="4"/>
  <c r="E203" i="4"/>
  <c r="E196" i="4"/>
  <c r="E189" i="4"/>
  <c r="E184" i="4"/>
  <c r="E185" i="4"/>
  <c r="E186" i="4"/>
  <c r="E178" i="4"/>
  <c r="E179" i="4"/>
  <c r="E180" i="4"/>
  <c r="E181" i="4"/>
  <c r="E173" i="4"/>
  <c r="E174" i="4"/>
  <c r="E175" i="4"/>
  <c r="E183" i="4"/>
  <c r="E177" i="4"/>
  <c r="E172" i="4"/>
  <c r="E168" i="4"/>
  <c r="E169" i="4"/>
  <c r="E170" i="4"/>
  <c r="E167" i="4"/>
  <c r="E162" i="4"/>
  <c r="E163" i="4"/>
  <c r="E164" i="4"/>
  <c r="E165" i="4"/>
  <c r="E161" i="4"/>
  <c r="E155" i="4"/>
  <c r="E156" i="4"/>
  <c r="E157" i="4"/>
  <c r="E158" i="4"/>
  <c r="E154" i="4"/>
  <c r="E151" i="4"/>
  <c r="E152" i="4"/>
  <c r="E147" i="4"/>
  <c r="E148" i="4"/>
  <c r="E146" i="4"/>
  <c r="E143" i="4"/>
  <c r="E144" i="4"/>
  <c r="E137" i="4"/>
  <c r="E138" i="4"/>
  <c r="E139" i="4"/>
  <c r="E132" i="4"/>
  <c r="E133" i="4"/>
  <c r="E134" i="4"/>
  <c r="E131" i="4"/>
  <c r="E127" i="4"/>
  <c r="E128" i="4"/>
  <c r="E129" i="4"/>
  <c r="E126" i="4"/>
  <c r="E121" i="4"/>
  <c r="E122" i="4"/>
  <c r="E123" i="4"/>
  <c r="E124" i="4"/>
  <c r="E120" i="4"/>
  <c r="E118" i="4"/>
  <c r="E113" i="4"/>
  <c r="E114" i="4"/>
  <c r="E115" i="4"/>
  <c r="E112" i="4"/>
  <c r="E103" i="4"/>
  <c r="E104" i="4"/>
  <c r="E105" i="4"/>
  <c r="E106" i="4"/>
  <c r="E107" i="4"/>
  <c r="E108" i="4"/>
  <c r="E109" i="4"/>
  <c r="E96" i="4"/>
  <c r="E97" i="4"/>
  <c r="E98" i="4"/>
  <c r="E95" i="4"/>
  <c r="E88" i="4"/>
  <c r="E89" i="4"/>
  <c r="E90" i="4"/>
  <c r="E91" i="4"/>
  <c r="E92" i="4"/>
  <c r="E93" i="4"/>
  <c r="E87" i="4"/>
  <c r="E82" i="4"/>
  <c r="E83" i="4"/>
  <c r="E84" i="4"/>
  <c r="E85" i="4"/>
  <c r="E81" i="4"/>
  <c r="E78" i="4"/>
  <c r="E79" i="4"/>
  <c r="E77" i="4"/>
  <c r="E74" i="4"/>
  <c r="E75" i="4"/>
  <c r="E73" i="4"/>
  <c r="E69" i="4"/>
  <c r="E65" i="4"/>
  <c r="E66" i="4"/>
  <c r="E67" i="4"/>
  <c r="E64" i="4"/>
  <c r="E58" i="4"/>
  <c r="E59" i="4"/>
  <c r="E60" i="4"/>
  <c r="E61" i="4"/>
  <c r="E62" i="4"/>
  <c r="E57" i="4"/>
  <c r="E53" i="4"/>
  <c r="E55" i="4"/>
  <c r="E52" i="4"/>
  <c r="E50" i="4"/>
  <c r="E42" i="4"/>
  <c r="E43" i="4"/>
  <c r="E44" i="4"/>
  <c r="E45" i="4"/>
  <c r="E46" i="4"/>
  <c r="E41" i="4"/>
  <c r="E37" i="4"/>
  <c r="E38" i="4"/>
  <c r="E39" i="4"/>
  <c r="E36" i="4"/>
  <c r="E31" i="4"/>
  <c r="E32" i="4"/>
  <c r="E33" i="4"/>
  <c r="E34" i="4"/>
  <c r="E30" i="4"/>
  <c r="E27" i="4"/>
  <c r="E28" i="4"/>
  <c r="E26" i="4"/>
  <c r="E20" i="4"/>
  <c r="E21" i="4"/>
  <c r="E22" i="4"/>
  <c r="E23" i="4"/>
  <c r="E24" i="4"/>
  <c r="E19" i="4"/>
  <c r="E17" i="4"/>
  <c r="E14" i="4"/>
  <c r="E15" i="4"/>
  <c r="E16" i="4"/>
  <c r="E9" i="4"/>
  <c r="E10" i="4"/>
  <c r="E11" i="4"/>
  <c r="E3" i="4"/>
  <c r="E4" i="4"/>
  <c r="E5" i="4"/>
  <c r="E2" i="4"/>
  <c r="D285" i="4"/>
  <c r="D277" i="4"/>
  <c r="D271" i="4"/>
  <c r="F271" i="4" s="1"/>
  <c r="D267" i="4"/>
  <c r="F262" i="4"/>
  <c r="D251" i="4"/>
  <c r="F251" i="4" s="1"/>
  <c r="D247" i="4"/>
  <c r="B247" i="4"/>
  <c r="B252" i="4" s="1"/>
  <c r="C9" i="2" s="1"/>
  <c r="D243" i="4"/>
  <c r="B243" i="4"/>
  <c r="D239" i="4"/>
  <c r="F239" i="4" s="1"/>
  <c r="D234" i="4"/>
  <c r="B234" i="4"/>
  <c r="D229" i="4"/>
  <c r="B229" i="4"/>
  <c r="D225" i="4"/>
  <c r="B225" i="4"/>
  <c r="D220" i="4"/>
  <c r="B220" i="4"/>
  <c r="D214" i="4"/>
  <c r="B214" i="4"/>
  <c r="D208" i="4"/>
  <c r="B208" i="4"/>
  <c r="D205" i="4"/>
  <c r="B205" i="4"/>
  <c r="D202" i="4"/>
  <c r="B202" i="4"/>
  <c r="D195" i="4"/>
  <c r="B195" i="4"/>
  <c r="D187" i="4"/>
  <c r="B187" i="4"/>
  <c r="D182" i="4"/>
  <c r="B182" i="4"/>
  <c r="D176" i="4"/>
  <c r="B176" i="4"/>
  <c r="D171" i="4"/>
  <c r="B171" i="4"/>
  <c r="D166" i="4"/>
  <c r="B166" i="4"/>
  <c r="D159" i="4"/>
  <c r="B159" i="4"/>
  <c r="D153" i="4"/>
  <c r="B153" i="4"/>
  <c r="D149" i="4"/>
  <c r="B149" i="4"/>
  <c r="D145" i="4"/>
  <c r="B145" i="4"/>
  <c r="B140" i="4"/>
  <c r="F140" i="4" s="1"/>
  <c r="D135" i="4"/>
  <c r="B135" i="4"/>
  <c r="D130" i="4"/>
  <c r="B130" i="4"/>
  <c r="D125" i="4"/>
  <c r="B125" i="4"/>
  <c r="D119" i="4"/>
  <c r="B119" i="4"/>
  <c r="D116" i="4"/>
  <c r="B116" i="4"/>
  <c r="D111" i="4"/>
  <c r="B111" i="4"/>
  <c r="D100" i="4"/>
  <c r="F100" i="4" s="1"/>
  <c r="D94" i="4"/>
  <c r="B94" i="4"/>
  <c r="B101" i="4" s="1"/>
  <c r="D86" i="4"/>
  <c r="F86" i="4" s="1"/>
  <c r="D80" i="4"/>
  <c r="F80" i="4" s="1"/>
  <c r="D76" i="4"/>
  <c r="F76" i="4" s="1"/>
  <c r="B71" i="4"/>
  <c r="F71" i="4" s="1"/>
  <c r="B68" i="4"/>
  <c r="B63" i="4"/>
  <c r="B56" i="4"/>
  <c r="F56" i="4" s="1"/>
  <c r="B51" i="4"/>
  <c r="F51" i="4" s="1"/>
  <c r="D47" i="4"/>
  <c r="B47" i="4"/>
  <c r="D40" i="4"/>
  <c r="B40" i="4"/>
  <c r="D35" i="4"/>
  <c r="B35" i="4"/>
  <c r="D29" i="4"/>
  <c r="B29" i="4"/>
  <c r="D25" i="4"/>
  <c r="B25" i="4"/>
  <c r="D18" i="4"/>
  <c r="B18" i="4"/>
  <c r="D12" i="4"/>
  <c r="B12" i="4"/>
  <c r="D6" i="4"/>
  <c r="B6" i="4"/>
  <c r="F214" i="4" l="1"/>
  <c r="F225" i="4"/>
  <c r="D286" i="4"/>
  <c r="B230" i="4"/>
  <c r="C8" i="2" s="1"/>
  <c r="F234" i="4"/>
  <c r="C4" i="2"/>
  <c r="F277" i="4"/>
  <c r="E277" i="4"/>
  <c r="F285" i="4"/>
  <c r="E285" i="4"/>
  <c r="E247" i="4"/>
  <c r="F267" i="4"/>
  <c r="F119" i="4"/>
  <c r="F153" i="4"/>
  <c r="F12" i="4"/>
  <c r="F145" i="4"/>
  <c r="F18" i="4"/>
  <c r="F243" i="4"/>
  <c r="E234" i="4"/>
  <c r="E208" i="4"/>
  <c r="B48" i="4"/>
  <c r="E267" i="4"/>
  <c r="F6" i="4"/>
  <c r="F29" i="4"/>
  <c r="F40" i="4"/>
  <c r="F63" i="4"/>
  <c r="F111" i="4"/>
  <c r="F130" i="4"/>
  <c r="F247" i="4"/>
  <c r="E153" i="4"/>
  <c r="E243" i="4"/>
  <c r="F25" i="4"/>
  <c r="F35" i="4"/>
  <c r="F149" i="4"/>
  <c r="F159" i="4"/>
  <c r="F171" i="4"/>
  <c r="F182" i="4"/>
  <c r="F195" i="4"/>
  <c r="F205" i="4"/>
  <c r="F94" i="4"/>
  <c r="F166" i="4"/>
  <c r="F176" i="4"/>
  <c r="F187" i="4"/>
  <c r="F202" i="4"/>
  <c r="F208" i="4"/>
  <c r="F220" i="4"/>
  <c r="F229" i="4"/>
  <c r="F47" i="4"/>
  <c r="F68" i="4"/>
  <c r="F116" i="4"/>
  <c r="F125" i="4"/>
  <c r="F135" i="4"/>
  <c r="B209" i="4"/>
  <c r="B72" i="4"/>
  <c r="E72" i="4" s="1"/>
  <c r="E271" i="4"/>
  <c r="E68" i="4"/>
  <c r="E225" i="4"/>
  <c r="E51" i="4"/>
  <c r="E6" i="4"/>
  <c r="B160" i="4"/>
  <c r="B188" i="4"/>
  <c r="E12" i="4"/>
  <c r="E116" i="4"/>
  <c r="E130" i="4"/>
  <c r="E149" i="4"/>
  <c r="E202" i="4"/>
  <c r="E205" i="4"/>
  <c r="E229" i="4"/>
  <c r="E140" i="4"/>
  <c r="E63" i="4"/>
  <c r="E76" i="4"/>
  <c r="E159" i="4"/>
  <c r="E145" i="4"/>
  <c r="E119" i="4"/>
  <c r="D160" i="4"/>
  <c r="E135" i="4"/>
  <c r="E111" i="4"/>
  <c r="D48" i="4"/>
  <c r="E18" i="4"/>
  <c r="E25" i="4"/>
  <c r="E29" i="4"/>
  <c r="E56" i="4"/>
  <c r="D252" i="4"/>
  <c r="E239" i="4"/>
  <c r="E251" i="4"/>
  <c r="E187" i="4"/>
  <c r="E171" i="4"/>
  <c r="E166" i="4"/>
  <c r="D188" i="4"/>
  <c r="E176" i="4"/>
  <c r="D209" i="4"/>
  <c r="E195" i="4"/>
  <c r="E220" i="4"/>
  <c r="D230" i="4"/>
  <c r="E100" i="4"/>
  <c r="E80" i="4"/>
  <c r="D101" i="4"/>
  <c r="E101" i="4" s="1"/>
  <c r="E94" i="4"/>
  <c r="E86" i="4"/>
  <c r="E262" i="4"/>
  <c r="E214" i="4"/>
  <c r="E182" i="4"/>
  <c r="E125" i="4"/>
  <c r="E71" i="4"/>
  <c r="E40" i="4"/>
  <c r="E35" i="4"/>
  <c r="E47" i="4"/>
  <c r="E230" i="4" l="1"/>
  <c r="F252" i="4"/>
  <c r="C5" i="2"/>
  <c r="E160" i="4"/>
  <c r="E5" i="2" s="1"/>
  <c r="F286" i="4"/>
  <c r="E286" i="4"/>
  <c r="E10" i="2" s="1"/>
  <c r="C6" i="2"/>
  <c r="E188" i="4"/>
  <c r="E6" i="2" s="1"/>
  <c r="C7" i="2"/>
  <c r="E209" i="4"/>
  <c r="E7" i="2" s="1"/>
  <c r="C2" i="2"/>
  <c r="E48" i="4"/>
  <c r="E252" i="4"/>
  <c r="E9" i="2" s="1"/>
  <c r="C3" i="2"/>
  <c r="F72" i="4"/>
  <c r="F48" i="4"/>
  <c r="D6" i="2"/>
  <c r="F188" i="4"/>
  <c r="D5" i="2"/>
  <c r="F160" i="4"/>
  <c r="D7" i="2"/>
  <c r="F209" i="4"/>
  <c r="D4" i="2"/>
  <c r="F4" i="2" s="1"/>
  <c r="F101" i="4"/>
  <c r="D3" i="2"/>
  <c r="D10" i="2"/>
  <c r="F10" i="2" s="1"/>
  <c r="D8" i="2"/>
  <c r="F8" i="2" s="1"/>
  <c r="F230" i="4"/>
  <c r="E8" i="2"/>
  <c r="E4" i="2"/>
  <c r="E3" i="2"/>
  <c r="B287" i="4"/>
  <c r="D9" i="2"/>
  <c r="F9" i="2" s="1"/>
  <c r="D287" i="4"/>
  <c r="D2" i="2"/>
  <c r="F2" i="2" s="1"/>
  <c r="C11" i="2" l="1"/>
  <c r="F5" i="2"/>
  <c r="F6" i="2"/>
  <c r="F7" i="2"/>
  <c r="F3" i="2"/>
  <c r="E2" i="2"/>
  <c r="E11" i="2" s="1"/>
  <c r="E287" i="4"/>
  <c r="F287" i="4"/>
  <c r="D11" i="2"/>
  <c r="F11" i="2" l="1"/>
</calcChain>
</file>

<file path=xl/sharedStrings.xml><?xml version="1.0" encoding="utf-8"?>
<sst xmlns="http://schemas.openxmlformats.org/spreadsheetml/2006/main" count="373" uniqueCount="287">
  <si>
    <t>#</t>
  </si>
  <si>
    <t>ETH - Far South</t>
  </si>
  <si>
    <t>ETH - Outer West</t>
  </si>
  <si>
    <t>Greater Kokstad</t>
  </si>
  <si>
    <t>Umzimkhulu</t>
  </si>
  <si>
    <t>KwaDukuza</t>
  </si>
  <si>
    <t>Mtubatuba</t>
  </si>
  <si>
    <t>Gauteng</t>
  </si>
  <si>
    <t>EKU - Far East</t>
  </si>
  <si>
    <t>Emfuleni</t>
  </si>
  <si>
    <t>Merafong City</t>
  </si>
  <si>
    <t>Mogale City</t>
  </si>
  <si>
    <t>Eastern Cape</t>
  </si>
  <si>
    <t>Northern Cape</t>
  </si>
  <si>
    <t>Ga-Segonyana</t>
  </si>
  <si>
    <t>North West</t>
  </si>
  <si>
    <t>Madibeng</t>
  </si>
  <si>
    <t>Moses Kotane</t>
  </si>
  <si>
    <t>Limpopo</t>
  </si>
  <si>
    <t>Blouberg</t>
  </si>
  <si>
    <t>Polokwane</t>
  </si>
  <si>
    <t>Greater Giyani</t>
  </si>
  <si>
    <t>Mogalakwena</t>
  </si>
  <si>
    <t>Mpumalanga</t>
  </si>
  <si>
    <t>Nkomazi</t>
  </si>
  <si>
    <t>Chief Albert Luthuli</t>
  </si>
  <si>
    <t>Emalahleni</t>
  </si>
  <si>
    <t>Steve Tshwete</t>
  </si>
  <si>
    <t>PROVINCE</t>
  </si>
  <si>
    <t>NUMBER OF IEC WARDS</t>
  </si>
  <si>
    <t>1.</t>
  </si>
  <si>
    <t>2.</t>
  </si>
  <si>
    <t>Free State</t>
  </si>
  <si>
    <t>3.</t>
  </si>
  <si>
    <t>4.</t>
  </si>
  <si>
    <t>KwaZulu-Natal</t>
  </si>
  <si>
    <t>5.</t>
  </si>
  <si>
    <t>6.</t>
  </si>
  <si>
    <t>7.</t>
  </si>
  <si>
    <t>8.</t>
  </si>
  <si>
    <t>9.</t>
  </si>
  <si>
    <t>Western Cape</t>
  </si>
  <si>
    <t>TOTAL</t>
  </si>
  <si>
    <t>TOTAL NUMBER OF WARDS WITH 200 OR MORE VALID MEMBERSHIP</t>
  </si>
  <si>
    <t>TOTAL NUMBER OF WARDS WITH LESS THAN 200 VALID MEMBERSHIP</t>
  </si>
  <si>
    <t>Bushbuckridge</t>
  </si>
  <si>
    <t>City of Mbombela</t>
  </si>
  <si>
    <t>Dr JS Moroka</t>
  </si>
  <si>
    <t>MUNICIPALITY/ DISTRICTS</t>
  </si>
  <si>
    <t>EASTERN CAPE</t>
  </si>
  <si>
    <t>BUF-Duncan Village</t>
  </si>
  <si>
    <t>BUF-East London</t>
  </si>
  <si>
    <t>BUF-King Williams Town</t>
  </si>
  <si>
    <t>BUF-Mdantsane</t>
  </si>
  <si>
    <t>Dr. Beyers Naude / Blue Crane Route</t>
  </si>
  <si>
    <t>12 + 6 = 18</t>
  </si>
  <si>
    <t>Kouga / Kou-Kamma</t>
  </si>
  <si>
    <t>15 + 6 = 21</t>
  </si>
  <si>
    <t>Makana</t>
  </si>
  <si>
    <t>Ndlambe</t>
  </si>
  <si>
    <t>Sundays River Valley</t>
  </si>
  <si>
    <t>Amahlathi / Great Kei</t>
  </si>
  <si>
    <t>15 + 7 = 22</t>
  </si>
  <si>
    <t>Mbashe</t>
  </si>
  <si>
    <t>Mnquma</t>
  </si>
  <si>
    <t>Ngqushwa</t>
  </si>
  <si>
    <t>Raymond Mhlaba</t>
  </si>
  <si>
    <t>Inxuba Yethemba</t>
  </si>
  <si>
    <t>Intsika Yethu</t>
  </si>
  <si>
    <t>Dr AB Xuma</t>
  </si>
  <si>
    <t>Sakhisizwe</t>
  </si>
  <si>
    <t>Enoch Mgijima</t>
  </si>
  <si>
    <t>Elundini</t>
  </si>
  <si>
    <t>Senqu</t>
  </si>
  <si>
    <t>Walter Sisulu</t>
  </si>
  <si>
    <t>Ngquza Hill</t>
  </si>
  <si>
    <t>Port St Johns</t>
  </si>
  <si>
    <t>Mhlontlo</t>
  </si>
  <si>
    <t>King Sabata Dalindyebo</t>
  </si>
  <si>
    <t>Nyandeni</t>
  </si>
  <si>
    <t>Matatiele</t>
  </si>
  <si>
    <t>Umzimvubu</t>
  </si>
  <si>
    <t>Winnie Madikizela Mandela</t>
  </si>
  <si>
    <t>Ntabankulu</t>
  </si>
  <si>
    <t>NMA-Champion Galela</t>
  </si>
  <si>
    <t>NMA-Govan Mbeki</t>
  </si>
  <si>
    <t>NMA-Molly Blackburn</t>
  </si>
  <si>
    <t>NMA-Zoli Nqini</t>
  </si>
  <si>
    <t>NMA-Lillian Diedericks</t>
  </si>
  <si>
    <t>FREE STATE</t>
  </si>
  <si>
    <t>Letsemeng / Mohokare</t>
  </si>
  <si>
    <t>7 + 7 = 14</t>
  </si>
  <si>
    <t>Kopanong</t>
  </si>
  <si>
    <t>Nala</t>
  </si>
  <si>
    <t>Matjhabeng</t>
  </si>
  <si>
    <t>Tswelopele / Tokologo</t>
  </si>
  <si>
    <t>9 + 7 = 16</t>
  </si>
  <si>
    <t>Masilonyana</t>
  </si>
  <si>
    <t>Mantsopa</t>
  </si>
  <si>
    <t>Setsoto</t>
  </si>
  <si>
    <t>Phumelela</t>
  </si>
  <si>
    <t>Maluti-a-phofung</t>
  </si>
  <si>
    <t>Nketoana</t>
  </si>
  <si>
    <t>Dihlabeng</t>
  </si>
  <si>
    <t>Moqhaka</t>
  </si>
  <si>
    <t>Mafube</t>
  </si>
  <si>
    <t>Metsimaholo</t>
  </si>
  <si>
    <t>Ngwathe</t>
  </si>
  <si>
    <t>MAN-Bloemfontein</t>
  </si>
  <si>
    <t>MAN-Botshabelo / MAN-Thaba Nchu / MAN-Naledi</t>
  </si>
  <si>
    <t>12+5+2 = 19</t>
  </si>
  <si>
    <t>GAUTENG</t>
  </si>
  <si>
    <t>Midvaal</t>
  </si>
  <si>
    <t>Lesedi</t>
  </si>
  <si>
    <t>Rand West</t>
  </si>
  <si>
    <t>EKU – Central</t>
  </si>
  <si>
    <t>EKU – East</t>
  </si>
  <si>
    <t>EKU – North</t>
  </si>
  <si>
    <t>EKU – South</t>
  </si>
  <si>
    <t>JHB – A</t>
  </si>
  <si>
    <t>JHB – B</t>
  </si>
  <si>
    <t>JHB – C</t>
  </si>
  <si>
    <t>JHB – D</t>
  </si>
  <si>
    <t>JHB – E</t>
  </si>
  <si>
    <t>JHB – F</t>
  </si>
  <si>
    <t>JHB – G</t>
  </si>
  <si>
    <t>TSH – 1</t>
  </si>
  <si>
    <t>TSH – 2</t>
  </si>
  <si>
    <t>TSH – 3</t>
  </si>
  <si>
    <t>TSH – 4</t>
  </si>
  <si>
    <t>TSH - 5 / TSH – 6</t>
  </si>
  <si>
    <t>26 + 5 = 31</t>
  </si>
  <si>
    <t>ETH – Central</t>
  </si>
  <si>
    <t>ETH - Far North</t>
  </si>
  <si>
    <t>ETH - Inner West</t>
  </si>
  <si>
    <t>ETH - North Central</t>
  </si>
  <si>
    <t>ETH - North West</t>
  </si>
  <si>
    <t>ETH – South</t>
  </si>
  <si>
    <t>ETH - South Central / ETH - South West</t>
  </si>
  <si>
    <t>Umuziwabantu</t>
  </si>
  <si>
    <t>Ray Nkonyeni</t>
  </si>
  <si>
    <t>Umdoni</t>
  </si>
  <si>
    <t>Umzumbe</t>
  </si>
  <si>
    <t>Newcastle / eMadlangeni</t>
  </si>
  <si>
    <t>34 + 6 = 40</t>
  </si>
  <si>
    <t>Dannhauser</t>
  </si>
  <si>
    <t>Abaqulusi</t>
  </si>
  <si>
    <t>EDumbe</t>
  </si>
  <si>
    <t>Nongoma</t>
  </si>
  <si>
    <t>Ulundi</t>
  </si>
  <si>
    <t>Uphongolo</t>
  </si>
  <si>
    <t>Big 5 Hlabisa</t>
  </si>
  <si>
    <t>Jozini</t>
  </si>
  <si>
    <t>Umhlabuyalingana</t>
  </si>
  <si>
    <t>Mandeni</t>
  </si>
  <si>
    <t>Maphumulo</t>
  </si>
  <si>
    <t>Ndwedwe</t>
  </si>
  <si>
    <t>Dr. Nkosasana Dlamini Zuma / Impendle</t>
  </si>
  <si>
    <t>15 + 5 = 20</t>
  </si>
  <si>
    <t>Ubuhlebezwe</t>
  </si>
  <si>
    <t>Msunduzi / Mpofana</t>
  </si>
  <si>
    <t>41 + 5 = 46</t>
  </si>
  <si>
    <t>Richmond / Mkhambathini</t>
  </si>
  <si>
    <t xml:space="preserve">uMngeni </t>
  </si>
  <si>
    <t>uMshwathi</t>
  </si>
  <si>
    <t>Alfred Duma</t>
  </si>
  <si>
    <t>iNkosi Langalibalele</t>
  </si>
  <si>
    <t>Okhahlamba</t>
  </si>
  <si>
    <t>Nqutu / Endumeni</t>
  </si>
  <si>
    <t>19 + 7 = 26</t>
  </si>
  <si>
    <t>Umsinga</t>
  </si>
  <si>
    <t>Umvoti</t>
  </si>
  <si>
    <t>Mthonjaneni</t>
  </si>
  <si>
    <t>Nkandla</t>
  </si>
  <si>
    <t>uMfolozi</t>
  </si>
  <si>
    <t>uMhlathuze</t>
  </si>
  <si>
    <t>Umlalazi</t>
  </si>
  <si>
    <t>LIMPOPO</t>
  </si>
  <si>
    <t>Greater Tzaneen</t>
  </si>
  <si>
    <t>Maruleng</t>
  </si>
  <si>
    <t>Greater Letaba</t>
  </si>
  <si>
    <t xml:space="preserve">Ba-Phalaborwa </t>
  </si>
  <si>
    <t>Thulamela</t>
  </si>
  <si>
    <t>Makhado</t>
  </si>
  <si>
    <t>Collins Chabane</t>
  </si>
  <si>
    <t>Musina</t>
  </si>
  <si>
    <t>Lepele Nkumpi</t>
  </si>
  <si>
    <t>MoleMole</t>
  </si>
  <si>
    <t>Thabazimbi</t>
  </si>
  <si>
    <t>Lephalale</t>
  </si>
  <si>
    <t>Bela-Bela</t>
  </si>
  <si>
    <t>Modimolle-Mokgophong</t>
  </si>
  <si>
    <t>Elias Motsoaledi</t>
  </si>
  <si>
    <t>Makhuduthamaga</t>
  </si>
  <si>
    <t>Fetakgomo Tubatse</t>
  </si>
  <si>
    <t>Ephraim Mogale</t>
  </si>
  <si>
    <t>MPUMALANGA</t>
  </si>
  <si>
    <t xml:space="preserve">Govan Mbeki </t>
  </si>
  <si>
    <t>Msukaligwa</t>
  </si>
  <si>
    <t>Mkhondo</t>
  </si>
  <si>
    <t>Lekwa / Dipaleseng</t>
  </si>
  <si>
    <t>15+6 =21</t>
  </si>
  <si>
    <t>Dr Pixley Ka Isaka Seme</t>
  </si>
  <si>
    <t>Thembisile Hani</t>
  </si>
  <si>
    <t>Emakhazeni</t>
  </si>
  <si>
    <t>Victor Khanye</t>
  </si>
  <si>
    <t>Thaba Chweu</t>
  </si>
  <si>
    <t>NORTH WEST</t>
  </si>
  <si>
    <t>Moretele</t>
  </si>
  <si>
    <t>Rustenburg / Kgetlengriver</t>
  </si>
  <si>
    <t>45 + 7 = 52</t>
  </si>
  <si>
    <t>Ratlou</t>
  </si>
  <si>
    <t>Tswaing</t>
  </si>
  <si>
    <t>Mafikeng</t>
  </si>
  <si>
    <t>Ditsobotla</t>
  </si>
  <si>
    <t>Ramotshere Moiloa</t>
  </si>
  <si>
    <t>Naledi</t>
  </si>
  <si>
    <t>Mamusa / Lekwa-Teemane</t>
  </si>
  <si>
    <t>8 + 7 = 15</t>
  </si>
  <si>
    <t>Greater Taung</t>
  </si>
  <si>
    <t>Kagisano Molopo</t>
  </si>
  <si>
    <t>Matlosana</t>
  </si>
  <si>
    <t>Maquassi Hills</t>
  </si>
  <si>
    <t>JB Marks</t>
  </si>
  <si>
    <t>NORTHERN CAPE</t>
  </si>
  <si>
    <t>Dawid Kruiper</t>
  </si>
  <si>
    <t xml:space="preserve">Kai !Garib </t>
  </si>
  <si>
    <t>Tsantsabane / Kgatelopele</t>
  </si>
  <si>
    <t>7 + 6 = 13</t>
  </si>
  <si>
    <t>Emthanjeni / Thembelihle / Renosterberg</t>
  </si>
  <si>
    <t>Ubuntu / Kareeberg</t>
  </si>
  <si>
    <t>6 + 6 = 12</t>
  </si>
  <si>
    <t>Siyancuma / Siyathemba</t>
  </si>
  <si>
    <t>Sol Plaatjie</t>
  </si>
  <si>
    <t>Dikgatlong</t>
  </si>
  <si>
    <t>Phokwane / Magareng</t>
  </si>
  <si>
    <t>10 + 6 = 16</t>
  </si>
  <si>
    <t>Joe Morolong</t>
  </si>
  <si>
    <t>Gamagara</t>
  </si>
  <si>
    <t>Hantam / !Kheis / Karoo Hoogland</t>
  </si>
  <si>
    <t>7 + 6 + 6 = 19</t>
  </si>
  <si>
    <t>Kamiesberg / KHÃ¢-Ma</t>
  </si>
  <si>
    <t>Nama Khoi / Richtersveld</t>
  </si>
  <si>
    <t>9 + 6 = 15</t>
  </si>
  <si>
    <t>WESTERN CAPE</t>
  </si>
  <si>
    <t>CPT - Zone 1</t>
  </si>
  <si>
    <t>CPT - Zone 2</t>
  </si>
  <si>
    <t>CPT - Zone 3</t>
  </si>
  <si>
    <t>CPT - Zone 4</t>
  </si>
  <si>
    <t>CPT - Zone 6</t>
  </si>
  <si>
    <t>CPT - Zone 7</t>
  </si>
  <si>
    <t>CPT - Zone 8</t>
  </si>
  <si>
    <t>CPT - Zone 10</t>
  </si>
  <si>
    <t>Bergrivier / Cederberg</t>
  </si>
  <si>
    <t>Saldanha Bay</t>
  </si>
  <si>
    <t>Matzikama</t>
  </si>
  <si>
    <t>Swartland</t>
  </si>
  <si>
    <t>Cape Agulhas / Swellendam</t>
  </si>
  <si>
    <t>Overstrand</t>
  </si>
  <si>
    <t>Theewaterskloof</t>
  </si>
  <si>
    <t>Breede Valley</t>
  </si>
  <si>
    <t>Drakenstein</t>
  </si>
  <si>
    <t>Stellenbosch</t>
  </si>
  <si>
    <t>Langeberg / Laingsburg</t>
  </si>
  <si>
    <t>12 + 4 = 16</t>
  </si>
  <si>
    <t>Witzenberg</t>
  </si>
  <si>
    <t>George</t>
  </si>
  <si>
    <t>Hessequa</t>
  </si>
  <si>
    <t xml:space="preserve">Kannaland </t>
  </si>
  <si>
    <t xml:space="preserve">Knysna / Bitou </t>
  </si>
  <si>
    <t>11 + 7 = 18</t>
  </si>
  <si>
    <t>Mossel Bay</t>
  </si>
  <si>
    <t>13 + 4 =17</t>
  </si>
  <si>
    <t>KWA-ZULU NATAL</t>
  </si>
  <si>
    <t>8+ 6 + 5 = 19</t>
  </si>
  <si>
    <t>NUMBER OF WARDS</t>
  </si>
  <si>
    <t>PERCENTAGE %</t>
  </si>
  <si>
    <t>PERCENTAGE % TOWARDS SRPA</t>
  </si>
  <si>
    <t>PERCENTAGE % TOWARDS BPA/BGA</t>
  </si>
  <si>
    <t>DEPLOYEE</t>
  </si>
  <si>
    <t xml:space="preserve">Oudtshoorn / Prince Albert </t>
  </si>
  <si>
    <t>TOTAL NUMBER OF WARDS WITH 150 -199 VALID MEMBERSHIP</t>
  </si>
  <si>
    <t>NMA-Alex Matikanca</t>
  </si>
  <si>
    <t xml:space="preserve">Umsombomvu </t>
  </si>
  <si>
    <t>Beaufort West</t>
  </si>
  <si>
    <t>CPT - Zone 5/9</t>
  </si>
  <si>
    <t>11+10=21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</si>
</sst>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0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/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9" fontId="0" fillId="0" borderId="0" xfId="1" applyFont="1"/>
    <xf numFmtId="9" fontId="0" fillId="0" borderId="1" xfId="1" applyFont="1" applyBorder="1" applyAlignment="1">
      <alignment horizontal="center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9" fontId="5" fillId="4" borderId="1" xfId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9" fontId="0" fillId="0" borderId="1" xfId="1" applyFont="1" applyBorder="1"/>
    <xf numFmtId="9" fontId="0" fillId="4" borderId="1" xfId="1" applyFont="1" applyFill="1" applyBorder="1"/>
    <xf numFmtId="9" fontId="5" fillId="4" borderId="1" xfId="1" applyFont="1" applyFill="1" applyBorder="1" applyAlignment="1">
      <alignment vertical="top" wrapText="1"/>
    </xf>
    <xf numFmtId="0" fontId="0" fillId="5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9" fontId="5" fillId="0" borderId="1" xfId="1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1131-CB64-4906-9822-D04ECDF0D79D}">
  <dimension ref="A1:G25"/>
  <sheetViews>
    <sheetView tabSelected="1" workbookViewId="0">
      <selection sqref="A1:D11"/>
    </sheetView>
  </sheetViews>
  <sheetFormatPr defaultRowHeight="14.5" x14ac:dyDescent="0.35"/>
  <cols>
    <col min="1" max="1" width="5.81640625" style="11" customWidth="1"/>
    <col min="2" max="2" width="18.7265625" customWidth="1"/>
    <col min="3" max="3" width="11" bestFit="1" customWidth="1"/>
    <col min="4" max="5" width="23.81640625" bestFit="1" customWidth="1"/>
    <col min="6" max="6" width="14.26953125" bestFit="1" customWidth="1"/>
    <col min="7" max="7" width="12.6328125" style="20" customWidth="1"/>
  </cols>
  <sheetData>
    <row r="1" spans="1:7" ht="35.5" x14ac:dyDescent="0.35">
      <c r="A1" s="19" t="s">
        <v>0</v>
      </c>
      <c r="B1" s="7" t="s">
        <v>28</v>
      </c>
      <c r="C1" s="8" t="s">
        <v>275</v>
      </c>
      <c r="D1" s="8" t="s">
        <v>43</v>
      </c>
      <c r="E1" s="8" t="s">
        <v>44</v>
      </c>
      <c r="F1" s="23" t="s">
        <v>277</v>
      </c>
    </row>
    <row r="2" spans="1:7" x14ac:dyDescent="0.35">
      <c r="A2" s="10" t="s">
        <v>30</v>
      </c>
      <c r="B2" s="9" t="s">
        <v>12</v>
      </c>
      <c r="C2" s="10">
        <f>Sheet1!B48</f>
        <v>710</v>
      </c>
      <c r="D2" s="10">
        <f>Sheet1!D48</f>
        <v>637</v>
      </c>
      <c r="E2" s="10">
        <f>Sheet1!E48</f>
        <v>73</v>
      </c>
      <c r="F2" s="21">
        <f>D2/C2</f>
        <v>0.89718309859154932</v>
      </c>
    </row>
    <row r="3" spans="1:7" x14ac:dyDescent="0.35">
      <c r="A3" s="10" t="s">
        <v>31</v>
      </c>
      <c r="B3" s="9" t="s">
        <v>32</v>
      </c>
      <c r="C3" s="10">
        <f>Sheet1!B72</f>
        <v>319</v>
      </c>
      <c r="D3" s="10">
        <f>Sheet1!D72</f>
        <v>287</v>
      </c>
      <c r="E3" s="10">
        <f>Sheet1!E72</f>
        <v>32</v>
      </c>
      <c r="F3" s="21">
        <f t="shared" ref="F3:F10" si="0">D3/C3</f>
        <v>0.89968652037617558</v>
      </c>
    </row>
    <row r="4" spans="1:7" x14ac:dyDescent="0.35">
      <c r="A4" s="10" t="s">
        <v>33</v>
      </c>
      <c r="B4" s="9" t="s">
        <v>7</v>
      </c>
      <c r="C4" s="10">
        <f>Sheet1!B101</f>
        <v>529</v>
      </c>
      <c r="D4" s="10">
        <f>Sheet1!D101</f>
        <v>514</v>
      </c>
      <c r="E4" s="10">
        <f>Sheet1!E101</f>
        <v>15</v>
      </c>
      <c r="F4" s="21">
        <f t="shared" si="0"/>
        <v>0.97164461247637046</v>
      </c>
    </row>
    <row r="5" spans="1:7" x14ac:dyDescent="0.35">
      <c r="A5" s="10" t="s">
        <v>34</v>
      </c>
      <c r="B5" s="9" t="s">
        <v>35</v>
      </c>
      <c r="C5" s="10">
        <f>Sheet1!B160</f>
        <v>901</v>
      </c>
      <c r="D5" s="10">
        <f>Sheet1!D160</f>
        <v>684</v>
      </c>
      <c r="E5" s="10">
        <f>Sheet1!E160</f>
        <v>217</v>
      </c>
      <c r="F5" s="21">
        <f t="shared" si="0"/>
        <v>0.75915649278579356</v>
      </c>
    </row>
    <row r="6" spans="1:7" x14ac:dyDescent="0.35">
      <c r="A6" s="10" t="s">
        <v>36</v>
      </c>
      <c r="B6" s="9" t="s">
        <v>18</v>
      </c>
      <c r="C6" s="10">
        <f>Sheet1!B188</f>
        <v>568</v>
      </c>
      <c r="D6" s="10">
        <f>Sheet1!D188</f>
        <v>559</v>
      </c>
      <c r="E6" s="10">
        <f>Sheet1!E188</f>
        <v>9</v>
      </c>
      <c r="F6" s="21">
        <f t="shared" si="0"/>
        <v>0.98415492957746475</v>
      </c>
    </row>
    <row r="7" spans="1:7" x14ac:dyDescent="0.35">
      <c r="A7" s="10" t="s">
        <v>37</v>
      </c>
      <c r="B7" s="9" t="s">
        <v>23</v>
      </c>
      <c r="C7" s="10">
        <f>Sheet1!B209</f>
        <v>400</v>
      </c>
      <c r="D7" s="10">
        <f>Sheet1!D209</f>
        <v>387</v>
      </c>
      <c r="E7" s="10">
        <f>Sheet1!E209</f>
        <v>13</v>
      </c>
      <c r="F7" s="21">
        <f t="shared" si="0"/>
        <v>0.96750000000000003</v>
      </c>
    </row>
    <row r="8" spans="1:7" x14ac:dyDescent="0.35">
      <c r="A8" s="10" t="s">
        <v>38</v>
      </c>
      <c r="B8" s="9" t="s">
        <v>15</v>
      </c>
      <c r="C8" s="10">
        <f>Sheet1!B230</f>
        <v>403</v>
      </c>
      <c r="D8" s="10">
        <f>Sheet1!D230</f>
        <v>382</v>
      </c>
      <c r="E8" s="10">
        <f>Sheet1!E230</f>
        <v>21</v>
      </c>
      <c r="F8" s="21">
        <f t="shared" si="0"/>
        <v>0.94789081885856075</v>
      </c>
    </row>
    <row r="9" spans="1:7" x14ac:dyDescent="0.35">
      <c r="A9" s="10" t="s">
        <v>39</v>
      </c>
      <c r="B9" s="9" t="s">
        <v>13</v>
      </c>
      <c r="C9" s="10">
        <f>Sheet1!B252</f>
        <v>232</v>
      </c>
      <c r="D9" s="10">
        <f>Sheet1!D252</f>
        <v>143</v>
      </c>
      <c r="E9" s="10">
        <f>Sheet1!E252</f>
        <v>89</v>
      </c>
      <c r="F9" s="21">
        <f t="shared" si="0"/>
        <v>0.61637931034482762</v>
      </c>
    </row>
    <row r="10" spans="1:7" x14ac:dyDescent="0.35">
      <c r="A10" s="10" t="s">
        <v>40</v>
      </c>
      <c r="B10" s="9" t="s">
        <v>41</v>
      </c>
      <c r="C10" s="10">
        <f>Sheet1!B286</f>
        <v>406</v>
      </c>
      <c r="D10" s="10">
        <f>Sheet1!D286</f>
        <v>296</v>
      </c>
      <c r="E10" s="10">
        <f>Sheet1!E286</f>
        <v>110</v>
      </c>
      <c r="F10" s="21">
        <f t="shared" si="0"/>
        <v>0.72906403940886699</v>
      </c>
    </row>
    <row r="11" spans="1:7" x14ac:dyDescent="0.35">
      <c r="A11" s="37" t="s">
        <v>42</v>
      </c>
      <c r="B11" s="37"/>
      <c r="C11" s="8">
        <f>SUM(C2:C10)</f>
        <v>4468</v>
      </c>
      <c r="D11" s="8">
        <f>SUM(D2:D10)</f>
        <v>3889</v>
      </c>
      <c r="E11" s="8">
        <f>SUM(E2:E10)</f>
        <v>579</v>
      </c>
      <c r="F11" s="25">
        <f>D11/C11</f>
        <v>0.87041181736794981</v>
      </c>
    </row>
    <row r="15" spans="1:7" s="24" customFormat="1" ht="48.75" customHeight="1" x14ac:dyDescent="0.35">
      <c r="A15" s="26" t="s">
        <v>0</v>
      </c>
      <c r="B15" s="22" t="s">
        <v>28</v>
      </c>
      <c r="C15" s="23" t="s">
        <v>275</v>
      </c>
      <c r="D15" s="23" t="s">
        <v>43</v>
      </c>
      <c r="E15" s="23" t="s">
        <v>281</v>
      </c>
      <c r="F15" s="23" t="s">
        <v>276</v>
      </c>
      <c r="G15" s="32" t="s">
        <v>276</v>
      </c>
    </row>
    <row r="16" spans="1:7" x14ac:dyDescent="0.35">
      <c r="A16" s="16" t="s">
        <v>30</v>
      </c>
      <c r="B16" s="17" t="s">
        <v>12</v>
      </c>
      <c r="C16" s="16">
        <v>710</v>
      </c>
      <c r="D16" s="16">
        <v>297</v>
      </c>
      <c r="E16" s="16">
        <v>109</v>
      </c>
      <c r="F16" s="21">
        <f>D16/C16</f>
        <v>0.41830985915492958</v>
      </c>
      <c r="G16" s="21">
        <f>E16/C16</f>
        <v>0.15352112676056337</v>
      </c>
    </row>
    <row r="17" spans="1:7" x14ac:dyDescent="0.35">
      <c r="A17" s="16" t="s">
        <v>31</v>
      </c>
      <c r="B17" s="17" t="s">
        <v>32</v>
      </c>
      <c r="C17" s="16">
        <v>319</v>
      </c>
      <c r="D17" s="16">
        <v>251</v>
      </c>
      <c r="E17" s="16">
        <v>13</v>
      </c>
      <c r="F17" s="21">
        <f t="shared" ref="F17:F24" si="1">D17/C17</f>
        <v>0.78683385579937304</v>
      </c>
      <c r="G17" s="21">
        <f t="shared" ref="G17:G25" si="2">E17/C17</f>
        <v>4.0752351097178681E-2</v>
      </c>
    </row>
    <row r="18" spans="1:7" x14ac:dyDescent="0.35">
      <c r="A18" s="16" t="s">
        <v>33</v>
      </c>
      <c r="B18" s="17" t="s">
        <v>7</v>
      </c>
      <c r="C18" s="16">
        <v>529</v>
      </c>
      <c r="D18" s="16">
        <v>509</v>
      </c>
      <c r="E18" s="16">
        <v>3</v>
      </c>
      <c r="F18" s="21">
        <f t="shared" si="1"/>
        <v>0.96219281663516065</v>
      </c>
      <c r="G18" s="21">
        <f t="shared" si="2"/>
        <v>5.6710775047258983E-3</v>
      </c>
    </row>
    <row r="19" spans="1:7" x14ac:dyDescent="0.35">
      <c r="A19" s="16" t="s">
        <v>34</v>
      </c>
      <c r="B19" s="17" t="s">
        <v>35</v>
      </c>
      <c r="C19" s="16">
        <v>901</v>
      </c>
      <c r="D19" s="16">
        <v>262</v>
      </c>
      <c r="E19" s="16">
        <v>113</v>
      </c>
      <c r="F19" s="21">
        <f t="shared" si="1"/>
        <v>0.29078801331853499</v>
      </c>
      <c r="G19" s="21">
        <f t="shared" si="2"/>
        <v>0.12541620421753608</v>
      </c>
    </row>
    <row r="20" spans="1:7" x14ac:dyDescent="0.35">
      <c r="A20" s="16" t="s">
        <v>36</v>
      </c>
      <c r="B20" s="17" t="s">
        <v>18</v>
      </c>
      <c r="C20" s="16">
        <v>568</v>
      </c>
      <c r="D20" s="16">
        <v>451</v>
      </c>
      <c r="E20" s="16">
        <v>43</v>
      </c>
      <c r="F20" s="21">
        <f t="shared" si="1"/>
        <v>0.79401408450704225</v>
      </c>
      <c r="G20" s="21">
        <f t="shared" si="2"/>
        <v>7.5704225352112672E-2</v>
      </c>
    </row>
    <row r="21" spans="1:7" x14ac:dyDescent="0.35">
      <c r="A21" s="16" t="s">
        <v>37</v>
      </c>
      <c r="B21" s="17" t="s">
        <v>23</v>
      </c>
      <c r="C21" s="16">
        <v>400</v>
      </c>
      <c r="D21" s="16">
        <v>364</v>
      </c>
      <c r="E21" s="16">
        <v>12</v>
      </c>
      <c r="F21" s="21">
        <f t="shared" si="1"/>
        <v>0.91</v>
      </c>
      <c r="G21" s="21">
        <f t="shared" si="2"/>
        <v>0.03</v>
      </c>
    </row>
    <row r="22" spans="1:7" x14ac:dyDescent="0.35">
      <c r="A22" s="16" t="s">
        <v>38</v>
      </c>
      <c r="B22" s="17" t="s">
        <v>15</v>
      </c>
      <c r="C22" s="16">
        <v>403</v>
      </c>
      <c r="D22" s="16">
        <v>275</v>
      </c>
      <c r="E22" s="16">
        <v>39</v>
      </c>
      <c r="F22" s="21">
        <f t="shared" si="1"/>
        <v>0.68238213399503722</v>
      </c>
      <c r="G22" s="21">
        <f t="shared" si="2"/>
        <v>9.6774193548387094E-2</v>
      </c>
    </row>
    <row r="23" spans="1:7" x14ac:dyDescent="0.35">
      <c r="A23" s="16" t="s">
        <v>39</v>
      </c>
      <c r="B23" s="17" t="s">
        <v>13</v>
      </c>
      <c r="C23" s="16">
        <v>239</v>
      </c>
      <c r="D23" s="16">
        <v>98</v>
      </c>
      <c r="E23" s="16">
        <v>7</v>
      </c>
      <c r="F23" s="21">
        <f t="shared" si="1"/>
        <v>0.41004184100418412</v>
      </c>
      <c r="G23" s="21">
        <f t="shared" si="2"/>
        <v>2.9288702928870293E-2</v>
      </c>
    </row>
    <row r="24" spans="1:7" x14ac:dyDescent="0.35">
      <c r="A24" s="16" t="s">
        <v>40</v>
      </c>
      <c r="B24" s="17" t="s">
        <v>41</v>
      </c>
      <c r="C24" s="16">
        <v>399</v>
      </c>
      <c r="D24" s="16">
        <v>171</v>
      </c>
      <c r="E24" s="16">
        <v>63</v>
      </c>
      <c r="F24" s="21">
        <f t="shared" si="1"/>
        <v>0.42857142857142855</v>
      </c>
      <c r="G24" s="21">
        <f t="shared" si="2"/>
        <v>0.15789473684210525</v>
      </c>
    </row>
    <row r="25" spans="1:7" x14ac:dyDescent="0.35">
      <c r="A25" s="38" t="s">
        <v>42</v>
      </c>
      <c r="B25" s="39"/>
      <c r="C25" s="18">
        <f>SUM(C16:C24)</f>
        <v>4468</v>
      </c>
      <c r="D25" s="18">
        <f>SUM(D16:D24)</f>
        <v>2678</v>
      </c>
      <c r="E25" s="18">
        <f>SUM(E16:E24)</f>
        <v>402</v>
      </c>
      <c r="F25" s="25">
        <f>D25/C25</f>
        <v>0.59937332139659805</v>
      </c>
      <c r="G25" s="25">
        <f t="shared" si="2"/>
        <v>8.9973142345568483E-2</v>
      </c>
    </row>
  </sheetData>
  <mergeCells count="2">
    <mergeCell ref="A11:B11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BDB9-C515-4FE7-8F2B-9C637D2784D3}">
  <sheetPr filterMode="1"/>
  <dimension ref="A1:G287"/>
  <sheetViews>
    <sheetView topLeftCell="D143" zoomScaleNormal="100" workbookViewId="0">
      <selection sqref="A1:F160"/>
    </sheetView>
  </sheetViews>
  <sheetFormatPr defaultRowHeight="14.5" x14ac:dyDescent="0.35"/>
  <cols>
    <col min="1" max="1" width="29.08984375" customWidth="1"/>
    <col min="2" max="2" width="11.36328125" style="11" customWidth="1"/>
    <col min="3" max="3" width="2.6328125" style="11" hidden="1" customWidth="1"/>
    <col min="4" max="4" width="15.36328125" style="11" customWidth="1"/>
    <col min="5" max="5" width="11.6328125" style="11" customWidth="1"/>
    <col min="6" max="6" width="13.6328125" style="20" customWidth="1"/>
    <col min="7" max="7" width="22.26953125" style="20" customWidth="1"/>
  </cols>
  <sheetData>
    <row r="1" spans="1:7" s="24" customFormat="1" ht="80.5" x14ac:dyDescent="0.35">
      <c r="A1" s="27" t="s">
        <v>48</v>
      </c>
      <c r="B1" s="28" t="s">
        <v>29</v>
      </c>
      <c r="C1" s="28"/>
      <c r="D1" s="29" t="s">
        <v>43</v>
      </c>
      <c r="E1" s="29" t="s">
        <v>44</v>
      </c>
      <c r="F1" s="23" t="s">
        <v>278</v>
      </c>
      <c r="G1" s="23" t="s">
        <v>279</v>
      </c>
    </row>
    <row r="2" spans="1:7" hidden="1" x14ac:dyDescent="0.35">
      <c r="A2" s="1" t="s">
        <v>50</v>
      </c>
      <c r="B2" s="4">
        <v>8</v>
      </c>
      <c r="C2" s="4"/>
      <c r="D2" s="4">
        <v>8</v>
      </c>
      <c r="E2" s="12">
        <f>B2-D2</f>
        <v>0</v>
      </c>
      <c r="F2" s="21">
        <f>D2/B2</f>
        <v>1</v>
      </c>
      <c r="G2" s="30"/>
    </row>
    <row r="3" spans="1:7" hidden="1" x14ac:dyDescent="0.35">
      <c r="A3" s="1" t="s">
        <v>51</v>
      </c>
      <c r="B3" s="4">
        <v>17</v>
      </c>
      <c r="C3" s="4"/>
      <c r="D3" s="4">
        <v>16</v>
      </c>
      <c r="E3" s="12">
        <f>B3-D3</f>
        <v>1</v>
      </c>
      <c r="F3" s="21">
        <f t="shared" ref="F3:F66" si="0">D3/B3</f>
        <v>0.94117647058823528</v>
      </c>
      <c r="G3" s="30"/>
    </row>
    <row r="4" spans="1:7" hidden="1" x14ac:dyDescent="0.35">
      <c r="A4" s="1" t="s">
        <v>52</v>
      </c>
      <c r="B4" s="4">
        <v>13</v>
      </c>
      <c r="C4" s="4"/>
      <c r="D4" s="4">
        <v>13</v>
      </c>
      <c r="E4" s="12">
        <f>B4-D4</f>
        <v>0</v>
      </c>
      <c r="F4" s="21">
        <f t="shared" si="0"/>
        <v>1</v>
      </c>
      <c r="G4" s="30"/>
    </row>
    <row r="5" spans="1:7" hidden="1" x14ac:dyDescent="0.35">
      <c r="A5" s="1" t="s">
        <v>53</v>
      </c>
      <c r="B5" s="4">
        <v>12</v>
      </c>
      <c r="C5" s="4"/>
      <c r="D5" s="4">
        <v>12</v>
      </c>
      <c r="E5" s="12">
        <f>B5-D5</f>
        <v>0</v>
      </c>
      <c r="F5" s="21">
        <f t="shared" si="0"/>
        <v>1</v>
      </c>
      <c r="G5" s="30"/>
    </row>
    <row r="6" spans="1:7" s="36" customFormat="1" hidden="1" x14ac:dyDescent="0.35">
      <c r="A6" s="13" t="s">
        <v>42</v>
      </c>
      <c r="B6" s="34">
        <f>SUM(B2:B5)</f>
        <v>50</v>
      </c>
      <c r="C6" s="34"/>
      <c r="D6" s="34">
        <f>SUM(D2:D5)</f>
        <v>49</v>
      </c>
      <c r="E6" s="34">
        <f>SUM(E2:E5)</f>
        <v>1</v>
      </c>
      <c r="F6" s="25">
        <f t="shared" si="0"/>
        <v>0.98</v>
      </c>
      <c r="G6" s="35"/>
    </row>
    <row r="7" spans="1:7" hidden="1" x14ac:dyDescent="0.35">
      <c r="A7" s="1" t="s">
        <v>54</v>
      </c>
      <c r="B7" s="3" t="s">
        <v>55</v>
      </c>
      <c r="C7" s="3">
        <v>18</v>
      </c>
      <c r="D7" s="4">
        <v>4</v>
      </c>
      <c r="E7" s="12">
        <f>C7-D7</f>
        <v>14</v>
      </c>
      <c r="F7" s="21">
        <f>D7/C7</f>
        <v>0.22222222222222221</v>
      </c>
      <c r="G7" s="30"/>
    </row>
    <row r="8" spans="1:7" hidden="1" x14ac:dyDescent="0.35">
      <c r="A8" s="1" t="s">
        <v>56</v>
      </c>
      <c r="B8" s="3" t="s">
        <v>57</v>
      </c>
      <c r="C8" s="3">
        <v>21</v>
      </c>
      <c r="D8" s="4">
        <v>2</v>
      </c>
      <c r="E8" s="12">
        <f>C8-D8</f>
        <v>19</v>
      </c>
      <c r="F8" s="21">
        <f>D8/C8</f>
        <v>9.5238095238095233E-2</v>
      </c>
      <c r="G8" s="30"/>
    </row>
    <row r="9" spans="1:7" hidden="1" x14ac:dyDescent="0.35">
      <c r="A9" s="1" t="s">
        <v>58</v>
      </c>
      <c r="B9" s="3">
        <v>14</v>
      </c>
      <c r="C9" s="3"/>
      <c r="D9" s="4">
        <v>14</v>
      </c>
      <c r="E9" s="12">
        <f>B9-D9</f>
        <v>0</v>
      </c>
      <c r="F9" s="21">
        <f t="shared" si="0"/>
        <v>1</v>
      </c>
      <c r="G9" s="30"/>
    </row>
    <row r="10" spans="1:7" hidden="1" x14ac:dyDescent="0.35">
      <c r="A10" s="1" t="s">
        <v>59</v>
      </c>
      <c r="B10" s="3">
        <v>10</v>
      </c>
      <c r="C10" s="3"/>
      <c r="D10" s="4">
        <v>8</v>
      </c>
      <c r="E10" s="12">
        <f>B10-D10</f>
        <v>2</v>
      </c>
      <c r="F10" s="21">
        <v>0.9</v>
      </c>
      <c r="G10" s="30"/>
    </row>
    <row r="11" spans="1:7" hidden="1" x14ac:dyDescent="0.35">
      <c r="A11" s="1" t="s">
        <v>60</v>
      </c>
      <c r="B11" s="3">
        <v>8</v>
      </c>
      <c r="C11" s="3"/>
      <c r="D11" s="4">
        <v>2</v>
      </c>
      <c r="E11" s="12">
        <f>B11-D11</f>
        <v>6</v>
      </c>
      <c r="F11" s="21">
        <f t="shared" si="0"/>
        <v>0.25</v>
      </c>
      <c r="G11" s="30"/>
    </row>
    <row r="12" spans="1:7" hidden="1" x14ac:dyDescent="0.35">
      <c r="A12" s="13" t="s">
        <v>42</v>
      </c>
      <c r="B12" s="6">
        <f>14+10+8+18+21</f>
        <v>71</v>
      </c>
      <c r="C12" s="6"/>
      <c r="D12" s="6">
        <f>SUM(D7:D11)</f>
        <v>30</v>
      </c>
      <c r="E12" s="6">
        <f>SUM(E7:E11)</f>
        <v>41</v>
      </c>
      <c r="F12" s="25">
        <f t="shared" si="0"/>
        <v>0.42253521126760563</v>
      </c>
      <c r="G12" s="30"/>
    </row>
    <row r="13" spans="1:7" hidden="1" x14ac:dyDescent="0.35">
      <c r="A13" s="1" t="s">
        <v>61</v>
      </c>
      <c r="B13" s="3" t="s">
        <v>62</v>
      </c>
      <c r="C13" s="3">
        <v>22</v>
      </c>
      <c r="D13" s="4">
        <v>22</v>
      </c>
      <c r="E13" s="12">
        <f>C13-D13</f>
        <v>0</v>
      </c>
      <c r="F13" s="21">
        <f>D13/C13</f>
        <v>1</v>
      </c>
      <c r="G13" s="30"/>
    </row>
    <row r="14" spans="1:7" hidden="1" x14ac:dyDescent="0.35">
      <c r="A14" s="1" t="s">
        <v>63</v>
      </c>
      <c r="B14" s="3">
        <v>32</v>
      </c>
      <c r="C14" s="3"/>
      <c r="D14" s="4">
        <v>29</v>
      </c>
      <c r="E14" s="12">
        <f>B14-D14</f>
        <v>3</v>
      </c>
      <c r="F14" s="21">
        <f t="shared" si="0"/>
        <v>0.90625</v>
      </c>
      <c r="G14" s="30"/>
    </row>
    <row r="15" spans="1:7" hidden="1" x14ac:dyDescent="0.35">
      <c r="A15" s="1" t="s">
        <v>64</v>
      </c>
      <c r="B15" s="3">
        <v>32</v>
      </c>
      <c r="C15" s="3"/>
      <c r="D15" s="4">
        <v>32</v>
      </c>
      <c r="E15" s="12">
        <f>B15-D15</f>
        <v>0</v>
      </c>
      <c r="F15" s="21">
        <f t="shared" si="0"/>
        <v>1</v>
      </c>
      <c r="G15" s="30"/>
    </row>
    <row r="16" spans="1:7" hidden="1" x14ac:dyDescent="0.35">
      <c r="A16" s="1" t="s">
        <v>65</v>
      </c>
      <c r="B16" s="3">
        <v>12</v>
      </c>
      <c r="C16" s="3"/>
      <c r="D16" s="4">
        <v>12</v>
      </c>
      <c r="E16" s="12">
        <f>B16-D16</f>
        <v>0</v>
      </c>
      <c r="F16" s="21">
        <f t="shared" si="0"/>
        <v>1</v>
      </c>
      <c r="G16" s="30"/>
    </row>
    <row r="17" spans="1:7" hidden="1" x14ac:dyDescent="0.35">
      <c r="A17" s="1" t="s">
        <v>66</v>
      </c>
      <c r="B17" s="3">
        <v>23</v>
      </c>
      <c r="C17" s="3"/>
      <c r="D17" s="4">
        <v>21</v>
      </c>
      <c r="E17" s="12">
        <f>B17-D17</f>
        <v>2</v>
      </c>
      <c r="F17" s="21">
        <f t="shared" si="0"/>
        <v>0.91304347826086951</v>
      </c>
      <c r="G17" s="30"/>
    </row>
    <row r="18" spans="1:7" hidden="1" x14ac:dyDescent="0.35">
      <c r="A18" s="13" t="s">
        <v>42</v>
      </c>
      <c r="B18" s="6">
        <f>22+32+32+12+23</f>
        <v>121</v>
      </c>
      <c r="C18" s="6"/>
      <c r="D18" s="6">
        <f>SUM(D13:D17)</f>
        <v>116</v>
      </c>
      <c r="E18" s="6">
        <f>SUM(E13:E17)</f>
        <v>5</v>
      </c>
      <c r="F18" s="25">
        <f t="shared" si="0"/>
        <v>0.95867768595041325</v>
      </c>
      <c r="G18" s="30"/>
    </row>
    <row r="19" spans="1:7" hidden="1" x14ac:dyDescent="0.35">
      <c r="A19" s="1" t="s">
        <v>67</v>
      </c>
      <c r="B19" s="3">
        <v>9</v>
      </c>
      <c r="C19" s="3"/>
      <c r="D19" s="4">
        <v>9</v>
      </c>
      <c r="E19" s="12">
        <f t="shared" ref="E19:E24" si="1">B19-D19</f>
        <v>0</v>
      </c>
      <c r="F19" s="21">
        <f t="shared" si="0"/>
        <v>1</v>
      </c>
      <c r="G19" s="30"/>
    </row>
    <row r="20" spans="1:7" hidden="1" x14ac:dyDescent="0.35">
      <c r="A20" s="1" t="s">
        <v>68</v>
      </c>
      <c r="B20" s="3">
        <v>21</v>
      </c>
      <c r="C20" s="3"/>
      <c r="D20" s="4">
        <v>20</v>
      </c>
      <c r="E20" s="12">
        <f t="shared" si="1"/>
        <v>1</v>
      </c>
      <c r="F20" s="21">
        <f t="shared" si="0"/>
        <v>0.95238095238095233</v>
      </c>
      <c r="G20" s="30"/>
    </row>
    <row r="21" spans="1:7" hidden="1" x14ac:dyDescent="0.35">
      <c r="A21" s="1" t="s">
        <v>26</v>
      </c>
      <c r="B21" s="3">
        <v>17</v>
      </c>
      <c r="C21" s="3"/>
      <c r="D21" s="4">
        <v>16</v>
      </c>
      <c r="E21" s="12">
        <f t="shared" si="1"/>
        <v>1</v>
      </c>
      <c r="F21" s="21">
        <f t="shared" si="0"/>
        <v>0.94117647058823528</v>
      </c>
      <c r="G21" s="30"/>
    </row>
    <row r="22" spans="1:7" hidden="1" x14ac:dyDescent="0.35">
      <c r="A22" s="1" t="s">
        <v>69</v>
      </c>
      <c r="B22" s="3">
        <v>20</v>
      </c>
      <c r="C22" s="3"/>
      <c r="D22" s="4">
        <v>19</v>
      </c>
      <c r="E22" s="12">
        <f t="shared" si="1"/>
        <v>1</v>
      </c>
      <c r="F22" s="21">
        <f t="shared" si="0"/>
        <v>0.95</v>
      </c>
      <c r="G22" s="30"/>
    </row>
    <row r="23" spans="1:7" hidden="1" x14ac:dyDescent="0.35">
      <c r="A23" s="1" t="s">
        <v>70</v>
      </c>
      <c r="B23" s="3">
        <v>9</v>
      </c>
      <c r="C23" s="3"/>
      <c r="D23" s="4">
        <v>7</v>
      </c>
      <c r="E23" s="12">
        <f t="shared" si="1"/>
        <v>2</v>
      </c>
      <c r="F23" s="21">
        <f t="shared" si="0"/>
        <v>0.77777777777777779</v>
      </c>
      <c r="G23" s="30"/>
    </row>
    <row r="24" spans="1:7" hidden="1" x14ac:dyDescent="0.35">
      <c r="A24" s="1" t="s">
        <v>71</v>
      </c>
      <c r="B24" s="3">
        <v>34</v>
      </c>
      <c r="C24" s="3"/>
      <c r="D24" s="4">
        <v>34</v>
      </c>
      <c r="E24" s="12">
        <f t="shared" si="1"/>
        <v>0</v>
      </c>
      <c r="F24" s="21">
        <f t="shared" si="0"/>
        <v>1</v>
      </c>
      <c r="G24" s="30"/>
    </row>
    <row r="25" spans="1:7" hidden="1" x14ac:dyDescent="0.35">
      <c r="A25" s="13" t="s">
        <v>42</v>
      </c>
      <c r="B25" s="6">
        <f>SUM(B19:B24)</f>
        <v>110</v>
      </c>
      <c r="C25" s="6"/>
      <c r="D25" s="6">
        <f>SUM(D19:D24)</f>
        <v>105</v>
      </c>
      <c r="E25" s="6">
        <f>SUM(E19:E24)</f>
        <v>5</v>
      </c>
      <c r="F25" s="25">
        <f t="shared" si="0"/>
        <v>0.95454545454545459</v>
      </c>
      <c r="G25" s="30"/>
    </row>
    <row r="26" spans="1:7" hidden="1" x14ac:dyDescent="0.35">
      <c r="A26" s="1" t="s">
        <v>72</v>
      </c>
      <c r="B26" s="3">
        <v>17</v>
      </c>
      <c r="C26" s="3"/>
      <c r="D26" s="4">
        <v>5</v>
      </c>
      <c r="E26" s="12">
        <f>B26-D26</f>
        <v>12</v>
      </c>
      <c r="F26" s="21">
        <f t="shared" si="0"/>
        <v>0.29411764705882354</v>
      </c>
      <c r="G26" s="30"/>
    </row>
    <row r="27" spans="1:7" hidden="1" x14ac:dyDescent="0.35">
      <c r="A27" s="1" t="s">
        <v>73</v>
      </c>
      <c r="B27" s="3">
        <v>17</v>
      </c>
      <c r="C27" s="3"/>
      <c r="D27" s="4">
        <v>17</v>
      </c>
      <c r="E27" s="12">
        <f>B27-D27</f>
        <v>0</v>
      </c>
      <c r="F27" s="21">
        <f t="shared" si="0"/>
        <v>1</v>
      </c>
      <c r="G27" s="30"/>
    </row>
    <row r="28" spans="1:7" hidden="1" x14ac:dyDescent="0.35">
      <c r="A28" s="1" t="s">
        <v>74</v>
      </c>
      <c r="B28" s="3">
        <v>11</v>
      </c>
      <c r="C28" s="3"/>
      <c r="D28" s="4">
        <v>11</v>
      </c>
      <c r="E28" s="12">
        <f>B28-D28</f>
        <v>0</v>
      </c>
      <c r="F28" s="21">
        <f t="shared" si="0"/>
        <v>1</v>
      </c>
      <c r="G28" s="30"/>
    </row>
    <row r="29" spans="1:7" hidden="1" x14ac:dyDescent="0.35">
      <c r="A29" s="13" t="s">
        <v>42</v>
      </c>
      <c r="B29" s="6">
        <f>SUM(B26:B28)</f>
        <v>45</v>
      </c>
      <c r="C29" s="6"/>
      <c r="D29" s="6">
        <f>SUM(D26:D28)</f>
        <v>33</v>
      </c>
      <c r="E29" s="6">
        <f>SUM(E26:E28)</f>
        <v>12</v>
      </c>
      <c r="F29" s="25">
        <f t="shared" si="0"/>
        <v>0.73333333333333328</v>
      </c>
      <c r="G29" s="30"/>
    </row>
    <row r="30" spans="1:7" hidden="1" x14ac:dyDescent="0.35">
      <c r="A30" s="1" t="s">
        <v>75</v>
      </c>
      <c r="B30" s="3">
        <v>32</v>
      </c>
      <c r="C30" s="3"/>
      <c r="D30" s="4">
        <v>32</v>
      </c>
      <c r="E30" s="12">
        <f>B30-D30</f>
        <v>0</v>
      </c>
      <c r="F30" s="21">
        <f t="shared" si="0"/>
        <v>1</v>
      </c>
      <c r="G30" s="30"/>
    </row>
    <row r="31" spans="1:7" hidden="1" x14ac:dyDescent="0.35">
      <c r="A31" s="1" t="s">
        <v>76</v>
      </c>
      <c r="B31" s="3">
        <v>20</v>
      </c>
      <c r="C31" s="3"/>
      <c r="D31" s="4">
        <v>18</v>
      </c>
      <c r="E31" s="12">
        <f>B31-D31</f>
        <v>2</v>
      </c>
      <c r="F31" s="21">
        <f t="shared" si="0"/>
        <v>0.9</v>
      </c>
      <c r="G31" s="30"/>
    </row>
    <row r="32" spans="1:7" hidden="1" x14ac:dyDescent="0.35">
      <c r="A32" s="1" t="s">
        <v>77</v>
      </c>
      <c r="B32" s="3">
        <v>26</v>
      </c>
      <c r="C32" s="3"/>
      <c r="D32" s="4">
        <v>26</v>
      </c>
      <c r="E32" s="12">
        <f>B32-D32</f>
        <v>0</v>
      </c>
      <c r="F32" s="21">
        <f t="shared" si="0"/>
        <v>1</v>
      </c>
      <c r="G32" s="30"/>
    </row>
    <row r="33" spans="1:7" hidden="1" x14ac:dyDescent="0.35">
      <c r="A33" s="1" t="s">
        <v>78</v>
      </c>
      <c r="B33" s="3">
        <v>37</v>
      </c>
      <c r="C33" s="3"/>
      <c r="D33" s="4">
        <v>37</v>
      </c>
      <c r="E33" s="12">
        <f>B33-D33</f>
        <v>0</v>
      </c>
      <c r="F33" s="21">
        <f t="shared" si="0"/>
        <v>1</v>
      </c>
      <c r="G33" s="30"/>
    </row>
    <row r="34" spans="1:7" hidden="1" x14ac:dyDescent="0.35">
      <c r="A34" s="1" t="s">
        <v>79</v>
      </c>
      <c r="B34" s="3">
        <v>32</v>
      </c>
      <c r="C34" s="3"/>
      <c r="D34" s="4">
        <v>29</v>
      </c>
      <c r="E34" s="12">
        <f>B34-D34</f>
        <v>3</v>
      </c>
      <c r="F34" s="21">
        <f t="shared" si="0"/>
        <v>0.90625</v>
      </c>
      <c r="G34" s="30"/>
    </row>
    <row r="35" spans="1:7" hidden="1" x14ac:dyDescent="0.35">
      <c r="A35" s="13" t="s">
        <v>42</v>
      </c>
      <c r="B35" s="6">
        <f>SUM(B30:B34)</f>
        <v>147</v>
      </c>
      <c r="C35" s="6"/>
      <c r="D35" s="6">
        <f>SUM(D30:D34)</f>
        <v>142</v>
      </c>
      <c r="E35" s="6">
        <f>SUM(E30:E34)</f>
        <v>5</v>
      </c>
      <c r="F35" s="25">
        <f t="shared" si="0"/>
        <v>0.96598639455782309</v>
      </c>
      <c r="G35" s="30"/>
    </row>
    <row r="36" spans="1:7" hidden="1" x14ac:dyDescent="0.35">
      <c r="A36" s="1" t="s">
        <v>80</v>
      </c>
      <c r="B36" s="3">
        <v>27</v>
      </c>
      <c r="C36" s="3"/>
      <c r="D36" s="4">
        <v>26</v>
      </c>
      <c r="E36" s="12">
        <f>B36-D36</f>
        <v>1</v>
      </c>
      <c r="F36" s="21">
        <f t="shared" si="0"/>
        <v>0.96296296296296291</v>
      </c>
      <c r="G36" s="30"/>
    </row>
    <row r="37" spans="1:7" hidden="1" x14ac:dyDescent="0.35">
      <c r="A37" s="1" t="s">
        <v>81</v>
      </c>
      <c r="B37" s="3">
        <v>28</v>
      </c>
      <c r="C37" s="3"/>
      <c r="D37" s="4">
        <v>28</v>
      </c>
      <c r="E37" s="12">
        <f>B37-D37</f>
        <v>0</v>
      </c>
      <c r="F37" s="21">
        <f t="shared" si="0"/>
        <v>1</v>
      </c>
      <c r="G37" s="30"/>
    </row>
    <row r="38" spans="1:7" hidden="1" x14ac:dyDescent="0.35">
      <c r="A38" s="1" t="s">
        <v>82</v>
      </c>
      <c r="B38" s="3">
        <v>32</v>
      </c>
      <c r="C38" s="3"/>
      <c r="D38" s="4">
        <v>30</v>
      </c>
      <c r="E38" s="12">
        <f>B38-D38</f>
        <v>2</v>
      </c>
      <c r="F38" s="21">
        <f t="shared" si="0"/>
        <v>0.9375</v>
      </c>
      <c r="G38" s="30"/>
    </row>
    <row r="39" spans="1:7" hidden="1" x14ac:dyDescent="0.35">
      <c r="A39" s="1" t="s">
        <v>83</v>
      </c>
      <c r="B39" s="3">
        <v>19</v>
      </c>
      <c r="C39" s="3"/>
      <c r="D39" s="4">
        <v>18</v>
      </c>
      <c r="E39" s="12">
        <f>B39-D39</f>
        <v>1</v>
      </c>
      <c r="F39" s="21">
        <f t="shared" si="0"/>
        <v>0.94736842105263153</v>
      </c>
      <c r="G39" s="30"/>
    </row>
    <row r="40" spans="1:7" hidden="1" x14ac:dyDescent="0.35">
      <c r="A40" s="13" t="s">
        <v>42</v>
      </c>
      <c r="B40" s="6">
        <f>SUM(B36:B39)</f>
        <v>106</v>
      </c>
      <c r="C40" s="6"/>
      <c r="D40" s="6">
        <f>SUM(D36:D39)</f>
        <v>102</v>
      </c>
      <c r="E40" s="6">
        <f>SUM(E36:E39)</f>
        <v>4</v>
      </c>
      <c r="F40" s="25">
        <f t="shared" si="0"/>
        <v>0.96226415094339623</v>
      </c>
      <c r="G40" s="30"/>
    </row>
    <row r="41" spans="1:7" hidden="1" x14ac:dyDescent="0.35">
      <c r="A41" s="1" t="s">
        <v>282</v>
      </c>
      <c r="B41" s="3">
        <v>9</v>
      </c>
      <c r="C41" s="3"/>
      <c r="D41" s="4">
        <v>9</v>
      </c>
      <c r="E41" s="12">
        <f t="shared" ref="E41:E46" si="2">B41-D41</f>
        <v>0</v>
      </c>
      <c r="F41" s="21">
        <f t="shared" si="0"/>
        <v>1</v>
      </c>
      <c r="G41" s="30"/>
    </row>
    <row r="42" spans="1:7" hidden="1" x14ac:dyDescent="0.35">
      <c r="A42" s="1" t="s">
        <v>84</v>
      </c>
      <c r="B42" s="3">
        <v>9</v>
      </c>
      <c r="C42" s="3"/>
      <c r="D42" s="4">
        <v>9</v>
      </c>
      <c r="E42" s="12">
        <f t="shared" si="2"/>
        <v>0</v>
      </c>
      <c r="F42" s="21">
        <f t="shared" si="0"/>
        <v>1</v>
      </c>
      <c r="G42" s="30"/>
    </row>
    <row r="43" spans="1:7" hidden="1" x14ac:dyDescent="0.35">
      <c r="A43" s="1" t="s">
        <v>85</v>
      </c>
      <c r="B43" s="3">
        <v>10</v>
      </c>
      <c r="C43" s="3"/>
      <c r="D43" s="4">
        <v>10</v>
      </c>
      <c r="E43" s="12">
        <f t="shared" si="2"/>
        <v>0</v>
      </c>
      <c r="F43" s="21">
        <f t="shared" si="0"/>
        <v>1</v>
      </c>
      <c r="G43" s="30"/>
    </row>
    <row r="44" spans="1:7" hidden="1" x14ac:dyDescent="0.35">
      <c r="A44" s="1" t="s">
        <v>86</v>
      </c>
      <c r="B44" s="3">
        <v>11</v>
      </c>
      <c r="C44" s="3"/>
      <c r="D44" s="4">
        <v>11</v>
      </c>
      <c r="E44" s="12">
        <f t="shared" si="2"/>
        <v>0</v>
      </c>
      <c r="F44" s="21">
        <f t="shared" si="0"/>
        <v>1</v>
      </c>
      <c r="G44" s="30"/>
    </row>
    <row r="45" spans="1:7" hidden="1" x14ac:dyDescent="0.35">
      <c r="A45" s="1" t="s">
        <v>87</v>
      </c>
      <c r="B45" s="3">
        <v>11</v>
      </c>
      <c r="C45" s="3"/>
      <c r="D45" s="4">
        <v>11</v>
      </c>
      <c r="E45" s="12">
        <f t="shared" si="2"/>
        <v>0</v>
      </c>
      <c r="F45" s="21">
        <f t="shared" si="0"/>
        <v>1</v>
      </c>
      <c r="G45" s="30"/>
    </row>
    <row r="46" spans="1:7" hidden="1" x14ac:dyDescent="0.35">
      <c r="A46" s="1" t="s">
        <v>88</v>
      </c>
      <c r="B46" s="3">
        <v>10</v>
      </c>
      <c r="C46" s="3"/>
      <c r="D46" s="4">
        <v>10</v>
      </c>
      <c r="E46" s="12">
        <f t="shared" si="2"/>
        <v>0</v>
      </c>
      <c r="F46" s="21">
        <f t="shared" si="0"/>
        <v>1</v>
      </c>
      <c r="G46" s="30"/>
    </row>
    <row r="47" spans="1:7" hidden="1" x14ac:dyDescent="0.35">
      <c r="A47" s="13" t="s">
        <v>42</v>
      </c>
      <c r="B47" s="6">
        <f>SUM(B41:B46)</f>
        <v>60</v>
      </c>
      <c r="C47" s="6"/>
      <c r="D47" s="6">
        <f>SUM(D41:D46)</f>
        <v>60</v>
      </c>
      <c r="E47" s="6">
        <f>SUM(E41:E46)</f>
        <v>0</v>
      </c>
      <c r="F47" s="25">
        <f t="shared" si="0"/>
        <v>1</v>
      </c>
      <c r="G47" s="30"/>
    </row>
    <row r="48" spans="1:7" hidden="1" x14ac:dyDescent="0.35">
      <c r="A48" s="5" t="s">
        <v>49</v>
      </c>
      <c r="B48" s="6">
        <f>SUM(B6,B12,B18,B25,B29,B35,B40,B47)</f>
        <v>710</v>
      </c>
      <c r="C48" s="6"/>
      <c r="D48" s="6">
        <f>SUM(D6,D12,D18,D25,D29,D35,D40,D47)</f>
        <v>637</v>
      </c>
      <c r="E48" s="6">
        <f>B48-D48</f>
        <v>73</v>
      </c>
      <c r="F48" s="25">
        <f t="shared" si="0"/>
        <v>0.89718309859154932</v>
      </c>
      <c r="G48" s="30"/>
    </row>
    <row r="49" spans="1:7" hidden="1" x14ac:dyDescent="0.35">
      <c r="A49" s="1" t="s">
        <v>90</v>
      </c>
      <c r="B49" s="3" t="s">
        <v>91</v>
      </c>
      <c r="C49" s="3">
        <v>14</v>
      </c>
      <c r="D49" s="4">
        <v>13</v>
      </c>
      <c r="E49" s="12">
        <f>C49-D49</f>
        <v>1</v>
      </c>
      <c r="F49" s="21">
        <f>D49/C49</f>
        <v>0.9285714285714286</v>
      </c>
      <c r="G49" s="30"/>
    </row>
    <row r="50" spans="1:7" hidden="1" x14ac:dyDescent="0.35">
      <c r="A50" s="1" t="s">
        <v>92</v>
      </c>
      <c r="B50" s="3">
        <v>9</v>
      </c>
      <c r="C50" s="3"/>
      <c r="D50" s="4">
        <v>8</v>
      </c>
      <c r="E50" s="12">
        <f>B50-D50</f>
        <v>1</v>
      </c>
      <c r="F50" s="21">
        <v>0.9</v>
      </c>
      <c r="G50" s="30"/>
    </row>
    <row r="51" spans="1:7" hidden="1" x14ac:dyDescent="0.35">
      <c r="A51" s="13" t="s">
        <v>42</v>
      </c>
      <c r="B51" s="6">
        <f>14+9</f>
        <v>23</v>
      </c>
      <c r="C51" s="6"/>
      <c r="D51" s="6">
        <f>SUM(D49:D50)</f>
        <v>21</v>
      </c>
      <c r="E51" s="6">
        <f>SUM(E49:E50)</f>
        <v>2</v>
      </c>
      <c r="F51" s="25">
        <f t="shared" si="0"/>
        <v>0.91304347826086951</v>
      </c>
      <c r="G51" s="30"/>
    </row>
    <row r="52" spans="1:7" hidden="1" x14ac:dyDescent="0.35">
      <c r="A52" s="1" t="s">
        <v>93</v>
      </c>
      <c r="B52" s="3">
        <v>12</v>
      </c>
      <c r="C52" s="3"/>
      <c r="D52" s="4">
        <v>11</v>
      </c>
      <c r="E52" s="12">
        <f>B52-D52</f>
        <v>1</v>
      </c>
      <c r="F52" s="21">
        <f t="shared" si="0"/>
        <v>0.91666666666666663</v>
      </c>
      <c r="G52" s="30"/>
    </row>
    <row r="53" spans="1:7" hidden="1" x14ac:dyDescent="0.35">
      <c r="A53" s="1" t="s">
        <v>94</v>
      </c>
      <c r="B53" s="3">
        <v>36</v>
      </c>
      <c r="C53" s="3"/>
      <c r="D53" s="4">
        <v>33</v>
      </c>
      <c r="E53" s="12">
        <f t="shared" ref="E53:E69" si="3">B53-D53</f>
        <v>3</v>
      </c>
      <c r="F53" s="21">
        <f t="shared" si="0"/>
        <v>0.91666666666666663</v>
      </c>
      <c r="G53" s="30"/>
    </row>
    <row r="54" spans="1:7" hidden="1" x14ac:dyDescent="0.35">
      <c r="A54" s="1" t="s">
        <v>95</v>
      </c>
      <c r="B54" s="3" t="s">
        <v>96</v>
      </c>
      <c r="C54" s="3">
        <v>16</v>
      </c>
      <c r="D54" s="4">
        <v>14</v>
      </c>
      <c r="E54" s="12">
        <f>C54-D54</f>
        <v>2</v>
      </c>
      <c r="F54" s="21">
        <v>0.9</v>
      </c>
      <c r="G54" s="30"/>
    </row>
    <row r="55" spans="1:7" hidden="1" x14ac:dyDescent="0.35">
      <c r="A55" s="1" t="s">
        <v>97</v>
      </c>
      <c r="B55" s="3">
        <v>10</v>
      </c>
      <c r="C55" s="3"/>
      <c r="D55" s="4">
        <v>9</v>
      </c>
      <c r="E55" s="12">
        <f t="shared" si="3"/>
        <v>1</v>
      </c>
      <c r="F55" s="21">
        <f t="shared" si="0"/>
        <v>0.9</v>
      </c>
      <c r="G55" s="30"/>
    </row>
    <row r="56" spans="1:7" hidden="1" x14ac:dyDescent="0.35">
      <c r="A56" s="13" t="s">
        <v>42</v>
      </c>
      <c r="B56" s="6">
        <f>12+36+16+10</f>
        <v>74</v>
      </c>
      <c r="C56" s="6"/>
      <c r="D56" s="6">
        <f>SUM(D52:D55)</f>
        <v>67</v>
      </c>
      <c r="E56" s="6">
        <f>SUM(E52:E55)</f>
        <v>7</v>
      </c>
      <c r="F56" s="25">
        <f t="shared" si="0"/>
        <v>0.90540540540540537</v>
      </c>
      <c r="G56" s="30"/>
    </row>
    <row r="57" spans="1:7" hidden="1" x14ac:dyDescent="0.35">
      <c r="A57" s="1" t="s">
        <v>98</v>
      </c>
      <c r="B57" s="3">
        <v>9</v>
      </c>
      <c r="C57" s="3"/>
      <c r="D57" s="4">
        <v>8</v>
      </c>
      <c r="E57" s="12">
        <f t="shared" si="3"/>
        <v>1</v>
      </c>
      <c r="F57" s="21">
        <f>92%</f>
        <v>0.92</v>
      </c>
      <c r="G57" s="30"/>
    </row>
    <row r="58" spans="1:7" hidden="1" x14ac:dyDescent="0.35">
      <c r="A58" s="1" t="s">
        <v>99</v>
      </c>
      <c r="B58" s="3">
        <v>17</v>
      </c>
      <c r="C58" s="3"/>
      <c r="D58" s="4">
        <v>15</v>
      </c>
      <c r="E58" s="12">
        <f t="shared" si="3"/>
        <v>2</v>
      </c>
      <c r="F58" s="21">
        <v>0.9</v>
      </c>
      <c r="G58" s="30"/>
    </row>
    <row r="59" spans="1:7" hidden="1" x14ac:dyDescent="0.35">
      <c r="A59" s="1" t="s">
        <v>100</v>
      </c>
      <c r="B59" s="3">
        <v>8</v>
      </c>
      <c r="C59" s="3"/>
      <c r="D59" s="4">
        <v>8</v>
      </c>
      <c r="E59" s="12">
        <f t="shared" si="3"/>
        <v>0</v>
      </c>
      <c r="F59" s="21">
        <v>0.9</v>
      </c>
      <c r="G59" s="30"/>
    </row>
    <row r="60" spans="1:7" hidden="1" x14ac:dyDescent="0.35">
      <c r="A60" s="1" t="s">
        <v>101</v>
      </c>
      <c r="B60" s="3">
        <v>35</v>
      </c>
      <c r="C60" s="3"/>
      <c r="D60" s="4">
        <v>32</v>
      </c>
      <c r="E60" s="12">
        <f t="shared" si="3"/>
        <v>3</v>
      </c>
      <c r="F60" s="21">
        <f t="shared" si="0"/>
        <v>0.91428571428571426</v>
      </c>
      <c r="G60" s="30"/>
    </row>
    <row r="61" spans="1:7" hidden="1" x14ac:dyDescent="0.35">
      <c r="A61" s="1" t="s">
        <v>102</v>
      </c>
      <c r="B61" s="3">
        <v>9</v>
      </c>
      <c r="C61" s="3"/>
      <c r="D61" s="4">
        <v>8</v>
      </c>
      <c r="E61" s="12">
        <f t="shared" si="3"/>
        <v>1</v>
      </c>
      <c r="F61" s="21">
        <v>0.9</v>
      </c>
      <c r="G61" s="30"/>
    </row>
    <row r="62" spans="1:7" hidden="1" x14ac:dyDescent="0.35">
      <c r="A62" s="1" t="s">
        <v>103</v>
      </c>
      <c r="B62" s="3">
        <v>20</v>
      </c>
      <c r="C62" s="3"/>
      <c r="D62" s="4">
        <v>15</v>
      </c>
      <c r="E62" s="12">
        <f t="shared" si="3"/>
        <v>5</v>
      </c>
      <c r="F62" s="21">
        <v>0.9</v>
      </c>
      <c r="G62" s="30"/>
    </row>
    <row r="63" spans="1:7" hidden="1" x14ac:dyDescent="0.35">
      <c r="A63" s="13" t="s">
        <v>42</v>
      </c>
      <c r="B63" s="6">
        <f>SUM(B57:B62)</f>
        <v>98</v>
      </c>
      <c r="C63" s="6"/>
      <c r="D63" s="6">
        <f>SUM(D57:D62)</f>
        <v>86</v>
      </c>
      <c r="E63" s="6">
        <f>SUM(E57:E62)</f>
        <v>12</v>
      </c>
      <c r="F63" s="25">
        <f t="shared" si="0"/>
        <v>0.87755102040816324</v>
      </c>
      <c r="G63" s="30"/>
    </row>
    <row r="64" spans="1:7" hidden="1" x14ac:dyDescent="0.35">
      <c r="A64" s="1" t="s">
        <v>104</v>
      </c>
      <c r="B64" s="3">
        <v>22</v>
      </c>
      <c r="C64" s="3"/>
      <c r="D64" s="4">
        <v>17</v>
      </c>
      <c r="E64" s="12">
        <f t="shared" si="3"/>
        <v>5</v>
      </c>
      <c r="F64" s="21">
        <v>0.9</v>
      </c>
      <c r="G64" s="30"/>
    </row>
    <row r="65" spans="1:7" hidden="1" x14ac:dyDescent="0.35">
      <c r="A65" s="1" t="s">
        <v>105</v>
      </c>
      <c r="B65" s="3">
        <v>9</v>
      </c>
      <c r="C65" s="3"/>
      <c r="D65" s="4">
        <v>9</v>
      </c>
      <c r="E65" s="12">
        <f t="shared" si="3"/>
        <v>0</v>
      </c>
      <c r="F65" s="21">
        <f t="shared" si="0"/>
        <v>1</v>
      </c>
      <c r="G65" s="30"/>
    </row>
    <row r="66" spans="1:7" hidden="1" x14ac:dyDescent="0.35">
      <c r="A66" s="1" t="s">
        <v>106</v>
      </c>
      <c r="B66" s="3">
        <v>23</v>
      </c>
      <c r="C66" s="3"/>
      <c r="D66" s="4">
        <v>21</v>
      </c>
      <c r="E66" s="12">
        <f t="shared" si="3"/>
        <v>2</v>
      </c>
      <c r="F66" s="21">
        <f t="shared" si="0"/>
        <v>0.91304347826086951</v>
      </c>
      <c r="G66" s="30"/>
    </row>
    <row r="67" spans="1:7" hidden="1" x14ac:dyDescent="0.35">
      <c r="A67" s="1" t="s">
        <v>107</v>
      </c>
      <c r="B67" s="3">
        <v>19</v>
      </c>
      <c r="C67" s="3"/>
      <c r="D67" s="4">
        <v>17</v>
      </c>
      <c r="E67" s="12">
        <f t="shared" si="3"/>
        <v>2</v>
      </c>
      <c r="F67" s="21">
        <v>0.9</v>
      </c>
      <c r="G67" s="30"/>
    </row>
    <row r="68" spans="1:7" hidden="1" x14ac:dyDescent="0.35">
      <c r="A68" s="13" t="s">
        <v>42</v>
      </c>
      <c r="B68" s="6">
        <f>SUM(B64:B67)</f>
        <v>73</v>
      </c>
      <c r="C68" s="6"/>
      <c r="D68" s="6">
        <f>SUM(D64:D67)</f>
        <v>64</v>
      </c>
      <c r="E68" s="6">
        <f>SUM(E64:E67)</f>
        <v>9</v>
      </c>
      <c r="F68" s="25">
        <f t="shared" ref="F68:F130" si="4">D68/B68</f>
        <v>0.87671232876712324</v>
      </c>
      <c r="G68" s="30"/>
    </row>
    <row r="69" spans="1:7" hidden="1" x14ac:dyDescent="0.35">
      <c r="A69" s="2" t="s">
        <v>108</v>
      </c>
      <c r="B69" s="12">
        <v>32</v>
      </c>
      <c r="C69" s="12"/>
      <c r="D69" s="4">
        <v>30</v>
      </c>
      <c r="E69" s="12">
        <f t="shared" si="3"/>
        <v>2</v>
      </c>
      <c r="F69" s="21">
        <f t="shared" si="4"/>
        <v>0.9375</v>
      </c>
      <c r="G69" s="30"/>
    </row>
    <row r="70" spans="1:7" hidden="1" x14ac:dyDescent="0.35">
      <c r="A70" s="1" t="s">
        <v>109</v>
      </c>
      <c r="B70" s="3" t="s">
        <v>110</v>
      </c>
      <c r="C70" s="3">
        <v>19</v>
      </c>
      <c r="D70" s="4">
        <v>19</v>
      </c>
      <c r="E70" s="12">
        <f>C70-D70</f>
        <v>0</v>
      </c>
      <c r="F70" s="21">
        <f>D70/C70</f>
        <v>1</v>
      </c>
      <c r="G70" s="30"/>
    </row>
    <row r="71" spans="1:7" hidden="1" x14ac:dyDescent="0.35">
      <c r="A71" s="13" t="s">
        <v>42</v>
      </c>
      <c r="B71" s="6">
        <f>32+19</f>
        <v>51</v>
      </c>
      <c r="C71" s="6"/>
      <c r="D71" s="6">
        <f>SUM(D69:D70)</f>
        <v>49</v>
      </c>
      <c r="E71" s="6">
        <f>SUM(E69:E70)</f>
        <v>2</v>
      </c>
      <c r="F71" s="25">
        <f t="shared" si="4"/>
        <v>0.96078431372549022</v>
      </c>
      <c r="G71" s="30"/>
    </row>
    <row r="72" spans="1:7" hidden="1" x14ac:dyDescent="0.35">
      <c r="A72" s="13" t="s">
        <v>89</v>
      </c>
      <c r="B72" s="6">
        <f>SUM(B51,B56,B63,B68,B71)</f>
        <v>319</v>
      </c>
      <c r="C72" s="6"/>
      <c r="D72" s="6">
        <f>SUM(D51,D56,D63,D68,D71)</f>
        <v>287</v>
      </c>
      <c r="E72" s="6">
        <f>B72-D72</f>
        <v>32</v>
      </c>
      <c r="F72" s="25">
        <f>D72/B72</f>
        <v>0.89968652037617558</v>
      </c>
      <c r="G72" s="30"/>
    </row>
    <row r="73" spans="1:7" hidden="1" x14ac:dyDescent="0.35">
      <c r="A73" s="1" t="s">
        <v>112</v>
      </c>
      <c r="B73" s="3">
        <v>15</v>
      </c>
      <c r="C73" s="3"/>
      <c r="D73" s="4">
        <v>14</v>
      </c>
      <c r="E73" s="12">
        <f t="shared" ref="E73:E98" si="5">B73-D73</f>
        <v>1</v>
      </c>
      <c r="F73" s="21">
        <f t="shared" si="4"/>
        <v>0.93333333333333335</v>
      </c>
      <c r="G73" s="30"/>
    </row>
    <row r="74" spans="1:7" hidden="1" x14ac:dyDescent="0.35">
      <c r="A74" s="1" t="s">
        <v>9</v>
      </c>
      <c r="B74" s="3">
        <v>45</v>
      </c>
      <c r="C74" s="3"/>
      <c r="D74" s="4">
        <v>44</v>
      </c>
      <c r="E74" s="12">
        <f t="shared" si="5"/>
        <v>1</v>
      </c>
      <c r="F74" s="21">
        <f t="shared" si="4"/>
        <v>0.97777777777777775</v>
      </c>
      <c r="G74" s="30"/>
    </row>
    <row r="75" spans="1:7" hidden="1" x14ac:dyDescent="0.35">
      <c r="A75" s="1" t="s">
        <v>113</v>
      </c>
      <c r="B75" s="3">
        <v>13</v>
      </c>
      <c r="C75" s="3"/>
      <c r="D75" s="4">
        <v>13</v>
      </c>
      <c r="E75" s="12">
        <f t="shared" si="5"/>
        <v>0</v>
      </c>
      <c r="F75" s="21">
        <f t="shared" si="4"/>
        <v>1</v>
      </c>
      <c r="G75" s="30"/>
    </row>
    <row r="76" spans="1:7" hidden="1" x14ac:dyDescent="0.35">
      <c r="A76" s="13" t="s">
        <v>42</v>
      </c>
      <c r="B76" s="6">
        <f>SUM(B73:B75)</f>
        <v>73</v>
      </c>
      <c r="C76" s="6"/>
      <c r="D76" s="6">
        <f>SUM(D73:D75)</f>
        <v>71</v>
      </c>
      <c r="E76" s="6">
        <f>SUM(E73:E75)</f>
        <v>2</v>
      </c>
      <c r="F76" s="25">
        <f t="shared" si="4"/>
        <v>0.9726027397260274</v>
      </c>
      <c r="G76" s="30"/>
    </row>
    <row r="77" spans="1:7" hidden="1" x14ac:dyDescent="0.35">
      <c r="A77" s="1" t="s">
        <v>114</v>
      </c>
      <c r="B77" s="3">
        <v>35</v>
      </c>
      <c r="C77" s="3"/>
      <c r="D77" s="4">
        <v>34</v>
      </c>
      <c r="E77" s="12">
        <f t="shared" si="5"/>
        <v>1</v>
      </c>
      <c r="F77" s="21">
        <f t="shared" si="4"/>
        <v>0.97142857142857142</v>
      </c>
      <c r="G77" s="30"/>
    </row>
    <row r="78" spans="1:7" hidden="1" x14ac:dyDescent="0.35">
      <c r="A78" s="1" t="s">
        <v>10</v>
      </c>
      <c r="B78" s="3">
        <v>28</v>
      </c>
      <c r="C78" s="3"/>
      <c r="D78" s="4">
        <v>28</v>
      </c>
      <c r="E78" s="12">
        <f t="shared" si="5"/>
        <v>0</v>
      </c>
      <c r="F78" s="21">
        <f t="shared" si="4"/>
        <v>1</v>
      </c>
      <c r="G78" s="30"/>
    </row>
    <row r="79" spans="1:7" hidden="1" x14ac:dyDescent="0.35">
      <c r="A79" s="1" t="s">
        <v>11</v>
      </c>
      <c r="B79" s="3">
        <v>39</v>
      </c>
      <c r="C79" s="3"/>
      <c r="D79" s="4">
        <v>35</v>
      </c>
      <c r="E79" s="12">
        <f t="shared" si="5"/>
        <v>4</v>
      </c>
      <c r="F79" s="21">
        <f t="shared" si="4"/>
        <v>0.89743589743589747</v>
      </c>
      <c r="G79" s="30"/>
    </row>
    <row r="80" spans="1:7" hidden="1" x14ac:dyDescent="0.35">
      <c r="A80" s="13" t="s">
        <v>42</v>
      </c>
      <c r="B80" s="6">
        <f>SUM(B77:B79)</f>
        <v>102</v>
      </c>
      <c r="C80" s="6"/>
      <c r="D80" s="6">
        <f>SUM(D77:D79)</f>
        <v>97</v>
      </c>
      <c r="E80" s="6">
        <f>SUM(E77:E79)</f>
        <v>5</v>
      </c>
      <c r="F80" s="25">
        <f t="shared" si="4"/>
        <v>0.9509803921568627</v>
      </c>
      <c r="G80" s="30"/>
    </row>
    <row r="81" spans="1:7" hidden="1" x14ac:dyDescent="0.35">
      <c r="A81" s="1" t="s">
        <v>115</v>
      </c>
      <c r="B81" s="12">
        <v>12</v>
      </c>
      <c r="C81" s="12"/>
      <c r="D81" s="4">
        <v>11</v>
      </c>
      <c r="E81" s="12">
        <f t="shared" si="5"/>
        <v>1</v>
      </c>
      <c r="F81" s="21">
        <f t="shared" si="4"/>
        <v>0.91666666666666663</v>
      </c>
      <c r="G81" s="30"/>
    </row>
    <row r="82" spans="1:7" hidden="1" x14ac:dyDescent="0.35">
      <c r="A82" s="1" t="s">
        <v>116</v>
      </c>
      <c r="B82" s="3">
        <v>19</v>
      </c>
      <c r="C82" s="3"/>
      <c r="D82" s="4">
        <v>17</v>
      </c>
      <c r="E82" s="12">
        <f t="shared" si="5"/>
        <v>2</v>
      </c>
      <c r="F82" s="21">
        <f>90%</f>
        <v>0.9</v>
      </c>
      <c r="G82" s="30"/>
    </row>
    <row r="83" spans="1:7" hidden="1" x14ac:dyDescent="0.35">
      <c r="A83" s="1" t="s">
        <v>8</v>
      </c>
      <c r="B83" s="3">
        <v>21</v>
      </c>
      <c r="C83" s="3"/>
      <c r="D83" s="4">
        <v>20</v>
      </c>
      <c r="E83" s="12">
        <f t="shared" si="5"/>
        <v>1</v>
      </c>
      <c r="F83" s="21">
        <f t="shared" si="4"/>
        <v>0.95238095238095233</v>
      </c>
      <c r="G83" s="30"/>
    </row>
    <row r="84" spans="1:7" hidden="1" x14ac:dyDescent="0.35">
      <c r="A84" s="1" t="s">
        <v>117</v>
      </c>
      <c r="B84" s="3">
        <v>26</v>
      </c>
      <c r="C84" s="3"/>
      <c r="D84" s="4">
        <v>26</v>
      </c>
      <c r="E84" s="12">
        <f t="shared" si="5"/>
        <v>0</v>
      </c>
      <c r="F84" s="21">
        <f t="shared" si="4"/>
        <v>1</v>
      </c>
      <c r="G84" s="30"/>
    </row>
    <row r="85" spans="1:7" hidden="1" x14ac:dyDescent="0.35">
      <c r="A85" s="1" t="s">
        <v>118</v>
      </c>
      <c r="B85" s="3">
        <v>34</v>
      </c>
      <c r="C85" s="3"/>
      <c r="D85" s="4">
        <v>33</v>
      </c>
      <c r="E85" s="12">
        <f t="shared" si="5"/>
        <v>1</v>
      </c>
      <c r="F85" s="21">
        <f t="shared" si="4"/>
        <v>0.97058823529411764</v>
      </c>
      <c r="G85" s="30"/>
    </row>
    <row r="86" spans="1:7" hidden="1" x14ac:dyDescent="0.35">
      <c r="A86" s="13" t="s">
        <v>42</v>
      </c>
      <c r="B86" s="6">
        <f>SUM(B81:B85)</f>
        <v>112</v>
      </c>
      <c r="C86" s="6"/>
      <c r="D86" s="6">
        <f>SUM(D81:D85)</f>
        <v>107</v>
      </c>
      <c r="E86" s="6">
        <f>SUM(E81:E85)</f>
        <v>5</v>
      </c>
      <c r="F86" s="25">
        <f t="shared" si="4"/>
        <v>0.9553571428571429</v>
      </c>
      <c r="G86" s="30"/>
    </row>
    <row r="87" spans="1:7" hidden="1" x14ac:dyDescent="0.35">
      <c r="A87" s="1" t="s">
        <v>119</v>
      </c>
      <c r="B87" s="3">
        <v>15</v>
      </c>
      <c r="C87" s="3"/>
      <c r="D87" s="4">
        <v>15</v>
      </c>
      <c r="E87" s="12">
        <f t="shared" si="5"/>
        <v>0</v>
      </c>
      <c r="F87" s="21">
        <f t="shared" si="4"/>
        <v>1</v>
      </c>
      <c r="G87" s="30"/>
    </row>
    <row r="88" spans="1:7" hidden="1" x14ac:dyDescent="0.35">
      <c r="A88" s="1" t="s">
        <v>120</v>
      </c>
      <c r="B88" s="3">
        <v>12</v>
      </c>
      <c r="C88" s="3"/>
      <c r="D88" s="4">
        <v>12</v>
      </c>
      <c r="E88" s="12">
        <f t="shared" si="5"/>
        <v>0</v>
      </c>
      <c r="F88" s="21">
        <f t="shared" si="4"/>
        <v>1</v>
      </c>
      <c r="G88" s="30"/>
    </row>
    <row r="89" spans="1:7" hidden="1" x14ac:dyDescent="0.35">
      <c r="A89" s="1" t="s">
        <v>121</v>
      </c>
      <c r="B89" s="3">
        <v>18</v>
      </c>
      <c r="C89" s="3"/>
      <c r="D89" s="4">
        <v>18</v>
      </c>
      <c r="E89" s="12">
        <f t="shared" si="5"/>
        <v>0</v>
      </c>
      <c r="F89" s="21">
        <f t="shared" si="4"/>
        <v>1</v>
      </c>
      <c r="G89" s="30"/>
    </row>
    <row r="90" spans="1:7" hidden="1" x14ac:dyDescent="0.35">
      <c r="A90" s="1" t="s">
        <v>122</v>
      </c>
      <c r="B90" s="3">
        <v>38</v>
      </c>
      <c r="C90" s="3"/>
      <c r="D90" s="4">
        <v>38</v>
      </c>
      <c r="E90" s="12">
        <f t="shared" si="5"/>
        <v>0</v>
      </c>
      <c r="F90" s="21">
        <f t="shared" si="4"/>
        <v>1</v>
      </c>
      <c r="G90" s="30"/>
    </row>
    <row r="91" spans="1:7" hidden="1" x14ac:dyDescent="0.35">
      <c r="A91" s="1" t="s">
        <v>123</v>
      </c>
      <c r="B91" s="3">
        <v>16</v>
      </c>
      <c r="C91" s="3"/>
      <c r="D91" s="4">
        <v>16</v>
      </c>
      <c r="E91" s="12">
        <f t="shared" si="5"/>
        <v>0</v>
      </c>
      <c r="F91" s="21">
        <f t="shared" si="4"/>
        <v>1</v>
      </c>
      <c r="G91" s="30"/>
    </row>
    <row r="92" spans="1:7" hidden="1" x14ac:dyDescent="0.35">
      <c r="A92" s="1" t="s">
        <v>124</v>
      </c>
      <c r="B92" s="3">
        <v>19</v>
      </c>
      <c r="C92" s="3"/>
      <c r="D92" s="4">
        <v>19</v>
      </c>
      <c r="E92" s="12">
        <f t="shared" si="5"/>
        <v>0</v>
      </c>
      <c r="F92" s="21">
        <f t="shared" si="4"/>
        <v>1</v>
      </c>
      <c r="G92" s="30"/>
    </row>
    <row r="93" spans="1:7" hidden="1" x14ac:dyDescent="0.35">
      <c r="A93" s="1" t="s">
        <v>125</v>
      </c>
      <c r="B93" s="3">
        <v>17</v>
      </c>
      <c r="C93" s="3"/>
      <c r="D93" s="4">
        <v>17</v>
      </c>
      <c r="E93" s="12">
        <f t="shared" si="5"/>
        <v>0</v>
      </c>
      <c r="F93" s="21">
        <f t="shared" si="4"/>
        <v>1</v>
      </c>
      <c r="G93" s="30"/>
    </row>
    <row r="94" spans="1:7" hidden="1" x14ac:dyDescent="0.35">
      <c r="A94" s="13" t="s">
        <v>42</v>
      </c>
      <c r="B94" s="6">
        <f>SUM(B87:B93)</f>
        <v>135</v>
      </c>
      <c r="C94" s="6"/>
      <c r="D94" s="6">
        <f>SUM(D87:D93)</f>
        <v>135</v>
      </c>
      <c r="E94" s="6">
        <f>SUM(E87:E93)</f>
        <v>0</v>
      </c>
      <c r="F94" s="25">
        <f t="shared" si="4"/>
        <v>1</v>
      </c>
      <c r="G94" s="30"/>
    </row>
    <row r="95" spans="1:7" hidden="1" x14ac:dyDescent="0.35">
      <c r="A95" s="1" t="s">
        <v>126</v>
      </c>
      <c r="B95" s="3">
        <v>28</v>
      </c>
      <c r="C95" s="3"/>
      <c r="D95" s="4">
        <v>28</v>
      </c>
      <c r="E95" s="12">
        <f t="shared" si="5"/>
        <v>0</v>
      </c>
      <c r="F95" s="21">
        <f t="shared" si="4"/>
        <v>1</v>
      </c>
      <c r="G95" s="30"/>
    </row>
    <row r="96" spans="1:7" hidden="1" x14ac:dyDescent="0.35">
      <c r="A96" s="1" t="s">
        <v>127</v>
      </c>
      <c r="B96" s="3">
        <v>12</v>
      </c>
      <c r="C96" s="3"/>
      <c r="D96" s="4">
        <v>12</v>
      </c>
      <c r="E96" s="12">
        <f t="shared" si="5"/>
        <v>0</v>
      </c>
      <c r="F96" s="21">
        <f t="shared" si="4"/>
        <v>1</v>
      </c>
      <c r="G96" s="30"/>
    </row>
    <row r="97" spans="1:7" hidden="1" x14ac:dyDescent="0.35">
      <c r="A97" s="1" t="s">
        <v>128</v>
      </c>
      <c r="B97" s="3">
        <v>24</v>
      </c>
      <c r="C97" s="3"/>
      <c r="D97" s="4">
        <v>24</v>
      </c>
      <c r="E97" s="12">
        <f t="shared" si="5"/>
        <v>0</v>
      </c>
      <c r="F97" s="21">
        <f t="shared" si="4"/>
        <v>1</v>
      </c>
      <c r="G97" s="30"/>
    </row>
    <row r="98" spans="1:7" hidden="1" x14ac:dyDescent="0.35">
      <c r="A98" s="1" t="s">
        <v>129</v>
      </c>
      <c r="B98" s="3">
        <v>12</v>
      </c>
      <c r="C98" s="3"/>
      <c r="D98" s="4">
        <v>11</v>
      </c>
      <c r="E98" s="12">
        <f t="shared" si="5"/>
        <v>1</v>
      </c>
      <c r="F98" s="21">
        <f t="shared" si="4"/>
        <v>0.91666666666666663</v>
      </c>
      <c r="G98" s="30"/>
    </row>
    <row r="99" spans="1:7" hidden="1" x14ac:dyDescent="0.35">
      <c r="A99" s="1" t="s">
        <v>130</v>
      </c>
      <c r="B99" s="3" t="s">
        <v>131</v>
      </c>
      <c r="C99" s="3">
        <v>31</v>
      </c>
      <c r="D99" s="4">
        <v>29</v>
      </c>
      <c r="E99" s="12">
        <f>C99-D99</f>
        <v>2</v>
      </c>
      <c r="F99" s="21">
        <f>D99/C99</f>
        <v>0.93548387096774188</v>
      </c>
      <c r="G99" s="30"/>
    </row>
    <row r="100" spans="1:7" hidden="1" x14ac:dyDescent="0.35">
      <c r="A100" s="13" t="s">
        <v>42</v>
      </c>
      <c r="B100" s="6">
        <f>SUM(B95:B98)+31</f>
        <v>107</v>
      </c>
      <c r="C100" s="6"/>
      <c r="D100" s="6">
        <f>SUM(D95:D99)</f>
        <v>104</v>
      </c>
      <c r="E100" s="6">
        <f>SUM(E95:E99)</f>
        <v>3</v>
      </c>
      <c r="F100" s="25">
        <f t="shared" si="4"/>
        <v>0.9719626168224299</v>
      </c>
      <c r="G100" s="30"/>
    </row>
    <row r="101" spans="1:7" hidden="1" x14ac:dyDescent="0.35">
      <c r="A101" s="13" t="s">
        <v>111</v>
      </c>
      <c r="B101" s="6">
        <f>SUM(B76,B80,B86,B94,B100)</f>
        <v>529</v>
      </c>
      <c r="C101" s="6"/>
      <c r="D101" s="6">
        <f>SUM(D76,D80,D86,D94,D100)</f>
        <v>514</v>
      </c>
      <c r="E101" s="6">
        <f>B101-D101</f>
        <v>15</v>
      </c>
      <c r="F101" s="25">
        <f t="shared" si="4"/>
        <v>0.97164461247637046</v>
      </c>
      <c r="G101" s="30"/>
    </row>
    <row r="102" spans="1:7" x14ac:dyDescent="0.35">
      <c r="A102" s="1" t="s">
        <v>132</v>
      </c>
      <c r="B102" s="3">
        <v>12</v>
      </c>
      <c r="C102" s="3"/>
      <c r="D102" s="4">
        <v>12</v>
      </c>
      <c r="E102" s="12">
        <f>B102-D102</f>
        <v>0</v>
      </c>
      <c r="F102" s="21">
        <f t="shared" si="4"/>
        <v>1</v>
      </c>
      <c r="G102" s="30"/>
    </row>
    <row r="103" spans="1:7" x14ac:dyDescent="0.35">
      <c r="A103" s="1" t="s">
        <v>133</v>
      </c>
      <c r="B103" s="3">
        <v>11</v>
      </c>
      <c r="C103" s="3"/>
      <c r="D103" s="4">
        <v>10</v>
      </c>
      <c r="E103" s="12">
        <f t="shared" ref="E103:E158" si="6">B103-D103</f>
        <v>1</v>
      </c>
      <c r="F103" s="21">
        <f t="shared" si="4"/>
        <v>0.90909090909090906</v>
      </c>
      <c r="G103" s="30"/>
    </row>
    <row r="104" spans="1:7" x14ac:dyDescent="0.35">
      <c r="A104" s="1" t="s">
        <v>1</v>
      </c>
      <c r="B104" s="3">
        <v>12</v>
      </c>
      <c r="C104" s="3"/>
      <c r="D104" s="4">
        <v>11</v>
      </c>
      <c r="E104" s="12">
        <f t="shared" si="6"/>
        <v>1</v>
      </c>
      <c r="F104" s="21">
        <f t="shared" si="4"/>
        <v>0.91666666666666663</v>
      </c>
      <c r="G104" s="30"/>
    </row>
    <row r="105" spans="1:7" x14ac:dyDescent="0.35">
      <c r="A105" s="1" t="s">
        <v>134</v>
      </c>
      <c r="B105" s="3">
        <v>12</v>
      </c>
      <c r="C105" s="3"/>
      <c r="D105" s="4">
        <v>11</v>
      </c>
      <c r="E105" s="12">
        <f t="shared" si="6"/>
        <v>1</v>
      </c>
      <c r="F105" s="21">
        <f t="shared" si="4"/>
        <v>0.91666666666666663</v>
      </c>
      <c r="G105" s="30"/>
    </row>
    <row r="106" spans="1:7" x14ac:dyDescent="0.35">
      <c r="A106" s="1" t="s">
        <v>135</v>
      </c>
      <c r="B106" s="3">
        <v>16</v>
      </c>
      <c r="C106" s="3"/>
      <c r="D106" s="4">
        <v>14</v>
      </c>
      <c r="E106" s="12">
        <f t="shared" si="6"/>
        <v>2</v>
      </c>
      <c r="F106" s="21">
        <v>0.9</v>
      </c>
      <c r="G106" s="30"/>
    </row>
    <row r="107" spans="1:7" x14ac:dyDescent="0.35">
      <c r="A107" s="1" t="s">
        <v>136</v>
      </c>
      <c r="B107" s="3">
        <v>10</v>
      </c>
      <c r="C107" s="3"/>
      <c r="D107" s="4">
        <v>9</v>
      </c>
      <c r="E107" s="12">
        <f t="shared" si="6"/>
        <v>1</v>
      </c>
      <c r="F107" s="21">
        <f t="shared" si="4"/>
        <v>0.9</v>
      </c>
      <c r="G107" s="30"/>
    </row>
    <row r="108" spans="1:7" x14ac:dyDescent="0.35">
      <c r="A108" s="1" t="s">
        <v>2</v>
      </c>
      <c r="B108" s="3">
        <v>10</v>
      </c>
      <c r="C108" s="3"/>
      <c r="D108" s="4">
        <v>10</v>
      </c>
      <c r="E108" s="12">
        <f t="shared" si="6"/>
        <v>0</v>
      </c>
      <c r="F108" s="21">
        <f t="shared" si="4"/>
        <v>1</v>
      </c>
      <c r="G108" s="30"/>
    </row>
    <row r="109" spans="1:7" x14ac:dyDescent="0.35">
      <c r="A109" s="1" t="s">
        <v>137</v>
      </c>
      <c r="B109" s="3">
        <v>14</v>
      </c>
      <c r="C109" s="3"/>
      <c r="D109" s="4">
        <v>13</v>
      </c>
      <c r="E109" s="12">
        <f t="shared" si="6"/>
        <v>1</v>
      </c>
      <c r="F109" s="21">
        <f t="shared" si="4"/>
        <v>0.9285714285714286</v>
      </c>
      <c r="G109" s="30"/>
    </row>
    <row r="110" spans="1:7" x14ac:dyDescent="0.35">
      <c r="A110" s="1" t="s">
        <v>138</v>
      </c>
      <c r="B110" s="3" t="s">
        <v>91</v>
      </c>
      <c r="C110" s="3">
        <v>14</v>
      </c>
      <c r="D110" s="4">
        <v>14</v>
      </c>
      <c r="E110" s="12">
        <f>C110-D110</f>
        <v>0</v>
      </c>
      <c r="F110" s="21">
        <f>D110/C110</f>
        <v>1</v>
      </c>
      <c r="G110" s="30"/>
    </row>
    <row r="111" spans="1:7" hidden="1" x14ac:dyDescent="0.35">
      <c r="A111" s="13" t="s">
        <v>42</v>
      </c>
      <c r="B111" s="6">
        <f>SUM(B102:B109)+14</f>
        <v>111</v>
      </c>
      <c r="C111" s="6"/>
      <c r="D111" s="6">
        <f>SUM(D102:D110)</f>
        <v>104</v>
      </c>
      <c r="E111" s="6">
        <f>SUM(E102:E110)</f>
        <v>7</v>
      </c>
      <c r="F111" s="25">
        <f t="shared" si="4"/>
        <v>0.93693693693693691</v>
      </c>
      <c r="G111" s="30"/>
    </row>
    <row r="112" spans="1:7" x14ac:dyDescent="0.35">
      <c r="A112" s="1" t="s">
        <v>139</v>
      </c>
      <c r="B112" s="12">
        <v>11</v>
      </c>
      <c r="C112" s="12"/>
      <c r="D112" s="4">
        <v>7</v>
      </c>
      <c r="E112" s="12">
        <f t="shared" si="6"/>
        <v>4</v>
      </c>
      <c r="F112" s="21">
        <f t="shared" si="4"/>
        <v>0.63636363636363635</v>
      </c>
      <c r="G112" s="30"/>
    </row>
    <row r="113" spans="1:7" x14ac:dyDescent="0.35">
      <c r="A113" s="2" t="s">
        <v>140</v>
      </c>
      <c r="B113" s="12">
        <v>36</v>
      </c>
      <c r="C113" s="12"/>
      <c r="D113" s="4">
        <v>30</v>
      </c>
      <c r="E113" s="12">
        <f t="shared" si="6"/>
        <v>6</v>
      </c>
      <c r="F113" s="21">
        <f>90%</f>
        <v>0.9</v>
      </c>
      <c r="G113" s="30"/>
    </row>
    <row r="114" spans="1:7" x14ac:dyDescent="0.35">
      <c r="A114" s="1" t="s">
        <v>141</v>
      </c>
      <c r="B114" s="12">
        <v>19</v>
      </c>
      <c r="C114" s="12"/>
      <c r="D114" s="4">
        <v>18</v>
      </c>
      <c r="E114" s="12">
        <f t="shared" si="6"/>
        <v>1</v>
      </c>
      <c r="F114" s="21">
        <f t="shared" si="4"/>
        <v>0.94736842105263153</v>
      </c>
      <c r="G114" s="30"/>
    </row>
    <row r="115" spans="1:7" x14ac:dyDescent="0.35">
      <c r="A115" s="1" t="s">
        <v>142</v>
      </c>
      <c r="B115" s="12">
        <v>20</v>
      </c>
      <c r="C115" s="12"/>
      <c r="D115" s="4">
        <v>3</v>
      </c>
      <c r="E115" s="12">
        <f t="shared" si="6"/>
        <v>17</v>
      </c>
      <c r="F115" s="21">
        <f t="shared" si="4"/>
        <v>0.15</v>
      </c>
      <c r="G115" s="30"/>
    </row>
    <row r="116" spans="1:7" hidden="1" x14ac:dyDescent="0.35">
      <c r="A116" s="13" t="s">
        <v>42</v>
      </c>
      <c r="B116" s="6">
        <f>SUM(B112:B115)</f>
        <v>86</v>
      </c>
      <c r="C116" s="6"/>
      <c r="D116" s="6">
        <f>SUM(D112:D115)</f>
        <v>58</v>
      </c>
      <c r="E116" s="6">
        <f>SUM(E112:E115)</f>
        <v>28</v>
      </c>
      <c r="F116" s="25">
        <f t="shared" si="4"/>
        <v>0.67441860465116277</v>
      </c>
      <c r="G116" s="30"/>
    </row>
    <row r="117" spans="1:7" x14ac:dyDescent="0.35">
      <c r="A117" s="2" t="s">
        <v>143</v>
      </c>
      <c r="B117" s="12" t="s">
        <v>144</v>
      </c>
      <c r="C117" s="12">
        <v>40</v>
      </c>
      <c r="D117" s="4">
        <v>37</v>
      </c>
      <c r="E117" s="12">
        <f>C117-D117</f>
        <v>3</v>
      </c>
      <c r="F117" s="21">
        <f>D117/C117</f>
        <v>0.92500000000000004</v>
      </c>
      <c r="G117" s="30"/>
    </row>
    <row r="118" spans="1:7" x14ac:dyDescent="0.35">
      <c r="A118" s="1" t="s">
        <v>145</v>
      </c>
      <c r="B118" s="12">
        <v>13</v>
      </c>
      <c r="C118" s="12"/>
      <c r="D118" s="4">
        <v>13</v>
      </c>
      <c r="E118" s="12">
        <f t="shared" si="6"/>
        <v>0</v>
      </c>
      <c r="F118" s="21">
        <f t="shared" si="4"/>
        <v>1</v>
      </c>
      <c r="G118" s="30"/>
    </row>
    <row r="119" spans="1:7" hidden="1" x14ac:dyDescent="0.35">
      <c r="A119" s="13" t="s">
        <v>42</v>
      </c>
      <c r="B119" s="6">
        <f>40+13</f>
        <v>53</v>
      </c>
      <c r="C119" s="6"/>
      <c r="D119" s="6">
        <f>SUM(D117:D118)</f>
        <v>50</v>
      </c>
      <c r="E119" s="6">
        <f>SUM(E117:E118)</f>
        <v>3</v>
      </c>
      <c r="F119" s="25">
        <f t="shared" si="4"/>
        <v>0.94339622641509435</v>
      </c>
      <c r="G119" s="30"/>
    </row>
    <row r="120" spans="1:7" x14ac:dyDescent="0.35">
      <c r="A120" s="1" t="s">
        <v>146</v>
      </c>
      <c r="B120" s="12">
        <v>23</v>
      </c>
      <c r="C120" s="12"/>
      <c r="D120" s="4">
        <v>23</v>
      </c>
      <c r="E120" s="12">
        <f t="shared" si="6"/>
        <v>0</v>
      </c>
      <c r="F120" s="21">
        <f t="shared" si="4"/>
        <v>1</v>
      </c>
      <c r="G120" s="30"/>
    </row>
    <row r="121" spans="1:7" x14ac:dyDescent="0.35">
      <c r="A121" s="2" t="s">
        <v>147</v>
      </c>
      <c r="B121" s="12">
        <v>10</v>
      </c>
      <c r="C121" s="12"/>
      <c r="D121" s="4">
        <v>9</v>
      </c>
      <c r="E121" s="12">
        <f t="shared" si="6"/>
        <v>1</v>
      </c>
      <c r="F121" s="21">
        <f t="shared" si="4"/>
        <v>0.9</v>
      </c>
      <c r="G121" s="30"/>
    </row>
    <row r="122" spans="1:7" x14ac:dyDescent="0.35">
      <c r="A122" s="1" t="s">
        <v>148</v>
      </c>
      <c r="B122" s="12">
        <v>23</v>
      </c>
      <c r="C122" s="12"/>
      <c r="D122" s="4">
        <v>19</v>
      </c>
      <c r="E122" s="12">
        <f t="shared" si="6"/>
        <v>4</v>
      </c>
      <c r="F122" s="21">
        <f t="shared" si="4"/>
        <v>0.82608695652173914</v>
      </c>
      <c r="G122" s="30"/>
    </row>
    <row r="123" spans="1:7" x14ac:dyDescent="0.35">
      <c r="A123" s="1" t="s">
        <v>149</v>
      </c>
      <c r="B123" s="12">
        <v>24</v>
      </c>
      <c r="C123" s="12"/>
      <c r="D123" s="4">
        <v>7</v>
      </c>
      <c r="E123" s="12">
        <f t="shared" si="6"/>
        <v>17</v>
      </c>
      <c r="F123" s="21">
        <f t="shared" si="4"/>
        <v>0.29166666666666669</v>
      </c>
      <c r="G123" s="30"/>
    </row>
    <row r="124" spans="1:7" x14ac:dyDescent="0.35">
      <c r="A124" s="1" t="s">
        <v>150</v>
      </c>
      <c r="B124" s="12">
        <v>15</v>
      </c>
      <c r="C124" s="12"/>
      <c r="D124" s="4">
        <v>4</v>
      </c>
      <c r="E124" s="12">
        <f t="shared" si="6"/>
        <v>11</v>
      </c>
      <c r="F124" s="21">
        <f t="shared" si="4"/>
        <v>0.26666666666666666</v>
      </c>
      <c r="G124" s="30"/>
    </row>
    <row r="125" spans="1:7" hidden="1" x14ac:dyDescent="0.35">
      <c r="A125" s="13" t="s">
        <v>42</v>
      </c>
      <c r="B125" s="6">
        <f>SUM(B120:B124)</f>
        <v>95</v>
      </c>
      <c r="C125" s="6"/>
      <c r="D125" s="6">
        <f>SUM(D120:D124)</f>
        <v>62</v>
      </c>
      <c r="E125" s="6">
        <f>SUM(E120:E124)</f>
        <v>33</v>
      </c>
      <c r="F125" s="25">
        <f t="shared" si="4"/>
        <v>0.65263157894736845</v>
      </c>
      <c r="G125" s="30"/>
    </row>
    <row r="126" spans="1:7" x14ac:dyDescent="0.35">
      <c r="A126" s="2" t="s">
        <v>151</v>
      </c>
      <c r="B126" s="12">
        <v>14</v>
      </c>
      <c r="C126" s="12"/>
      <c r="D126" s="4">
        <v>13</v>
      </c>
      <c r="E126" s="12">
        <f t="shared" si="6"/>
        <v>1</v>
      </c>
      <c r="F126" s="21">
        <f t="shared" si="4"/>
        <v>0.9285714285714286</v>
      </c>
      <c r="G126" s="30"/>
    </row>
    <row r="127" spans="1:7" x14ac:dyDescent="0.35">
      <c r="A127" s="1" t="s">
        <v>152</v>
      </c>
      <c r="B127" s="12">
        <v>23</v>
      </c>
      <c r="C127" s="12"/>
      <c r="D127" s="4">
        <v>12</v>
      </c>
      <c r="E127" s="12">
        <f t="shared" si="6"/>
        <v>11</v>
      </c>
      <c r="F127" s="21">
        <f t="shared" si="4"/>
        <v>0.52173913043478259</v>
      </c>
      <c r="G127" s="30"/>
    </row>
    <row r="128" spans="1:7" x14ac:dyDescent="0.35">
      <c r="A128" s="1" t="s">
        <v>6</v>
      </c>
      <c r="B128" s="12">
        <v>23</v>
      </c>
      <c r="C128" s="12"/>
      <c r="D128" s="4">
        <v>22</v>
      </c>
      <c r="E128" s="12">
        <f t="shared" si="6"/>
        <v>1</v>
      </c>
      <c r="F128" s="21">
        <f t="shared" si="4"/>
        <v>0.95652173913043481</v>
      </c>
      <c r="G128" s="30"/>
    </row>
    <row r="129" spans="1:7" x14ac:dyDescent="0.35">
      <c r="A129" s="1" t="s">
        <v>153</v>
      </c>
      <c r="B129" s="12">
        <v>20</v>
      </c>
      <c r="C129" s="12"/>
      <c r="D129" s="4">
        <v>13</v>
      </c>
      <c r="E129" s="12">
        <f t="shared" si="6"/>
        <v>7</v>
      </c>
      <c r="F129" s="21">
        <f t="shared" si="4"/>
        <v>0.65</v>
      </c>
      <c r="G129" s="30"/>
    </row>
    <row r="130" spans="1:7" hidden="1" x14ac:dyDescent="0.35">
      <c r="A130" s="13" t="s">
        <v>42</v>
      </c>
      <c r="B130" s="6">
        <f>SUM(B126:B129)</f>
        <v>80</v>
      </c>
      <c r="C130" s="6"/>
      <c r="D130" s="6">
        <f>SUM(D126:D129)</f>
        <v>60</v>
      </c>
      <c r="E130" s="6">
        <f>SUM(E126:E129)</f>
        <v>20</v>
      </c>
      <c r="F130" s="25">
        <f t="shared" si="4"/>
        <v>0.75</v>
      </c>
      <c r="G130" s="30"/>
    </row>
    <row r="131" spans="1:7" x14ac:dyDescent="0.35">
      <c r="A131" s="1" t="s">
        <v>5</v>
      </c>
      <c r="B131" s="12">
        <v>30</v>
      </c>
      <c r="C131" s="12"/>
      <c r="D131" s="4">
        <v>28</v>
      </c>
      <c r="E131" s="12">
        <f t="shared" si="6"/>
        <v>2</v>
      </c>
      <c r="F131" s="21">
        <f t="shared" ref="F131:F194" si="7">D131/B131</f>
        <v>0.93333333333333335</v>
      </c>
      <c r="G131" s="30"/>
    </row>
    <row r="132" spans="1:7" x14ac:dyDescent="0.35">
      <c r="A132" s="1" t="s">
        <v>154</v>
      </c>
      <c r="B132" s="12">
        <v>18</v>
      </c>
      <c r="C132" s="12"/>
      <c r="D132" s="4">
        <v>17</v>
      </c>
      <c r="E132" s="12">
        <f t="shared" si="6"/>
        <v>1</v>
      </c>
      <c r="F132" s="21">
        <f t="shared" si="7"/>
        <v>0.94444444444444442</v>
      </c>
      <c r="G132" s="30"/>
    </row>
    <row r="133" spans="1:7" x14ac:dyDescent="0.35">
      <c r="A133" s="1" t="s">
        <v>155</v>
      </c>
      <c r="B133" s="12">
        <v>12</v>
      </c>
      <c r="C133" s="12"/>
      <c r="D133" s="4">
        <v>11</v>
      </c>
      <c r="E133" s="12">
        <f t="shared" si="6"/>
        <v>1</v>
      </c>
      <c r="F133" s="21">
        <f t="shared" si="7"/>
        <v>0.91666666666666663</v>
      </c>
      <c r="G133" s="30"/>
    </row>
    <row r="134" spans="1:7" x14ac:dyDescent="0.35">
      <c r="A134" s="2" t="s">
        <v>156</v>
      </c>
      <c r="B134" s="12">
        <v>19</v>
      </c>
      <c r="C134" s="12"/>
      <c r="D134" s="4">
        <v>18</v>
      </c>
      <c r="E134" s="12">
        <f t="shared" si="6"/>
        <v>1</v>
      </c>
      <c r="F134" s="21">
        <f t="shared" si="7"/>
        <v>0.94736842105263153</v>
      </c>
      <c r="G134" s="30"/>
    </row>
    <row r="135" spans="1:7" hidden="1" x14ac:dyDescent="0.35">
      <c r="A135" s="13" t="s">
        <v>42</v>
      </c>
      <c r="B135" s="6">
        <f>SUM(B131:B134)</f>
        <v>79</v>
      </c>
      <c r="C135" s="6"/>
      <c r="D135" s="6">
        <f>SUM(D131:D134)</f>
        <v>74</v>
      </c>
      <c r="E135" s="6">
        <f>SUM(E131:E134)</f>
        <v>5</v>
      </c>
      <c r="F135" s="25">
        <f t="shared" si="7"/>
        <v>0.93670886075949367</v>
      </c>
      <c r="G135" s="30"/>
    </row>
    <row r="136" spans="1:7" x14ac:dyDescent="0.35">
      <c r="A136" s="1" t="s">
        <v>157</v>
      </c>
      <c r="B136" s="12" t="s">
        <v>158</v>
      </c>
      <c r="C136" s="12">
        <v>20</v>
      </c>
      <c r="D136" s="4">
        <v>19</v>
      </c>
      <c r="E136" s="12">
        <f>C136-D136</f>
        <v>1</v>
      </c>
      <c r="F136" s="21">
        <f>D136/C136</f>
        <v>0.95</v>
      </c>
      <c r="G136" s="30"/>
    </row>
    <row r="137" spans="1:7" x14ac:dyDescent="0.35">
      <c r="A137" s="2" t="s">
        <v>3</v>
      </c>
      <c r="B137" s="12">
        <v>10</v>
      </c>
      <c r="C137" s="12"/>
      <c r="D137" s="4">
        <v>9</v>
      </c>
      <c r="E137" s="12">
        <f t="shared" si="6"/>
        <v>1</v>
      </c>
      <c r="F137" s="21">
        <f t="shared" si="7"/>
        <v>0.9</v>
      </c>
      <c r="G137" s="30"/>
    </row>
    <row r="138" spans="1:7" x14ac:dyDescent="0.35">
      <c r="A138" s="1" t="s">
        <v>159</v>
      </c>
      <c r="B138" s="12">
        <v>14</v>
      </c>
      <c r="C138" s="12"/>
      <c r="D138" s="4">
        <v>13</v>
      </c>
      <c r="E138" s="12">
        <f t="shared" si="6"/>
        <v>1</v>
      </c>
      <c r="F138" s="21">
        <f t="shared" si="7"/>
        <v>0.9285714285714286</v>
      </c>
      <c r="G138" s="30"/>
    </row>
    <row r="139" spans="1:7" x14ac:dyDescent="0.35">
      <c r="A139" s="1" t="s">
        <v>4</v>
      </c>
      <c r="B139" s="12">
        <v>22</v>
      </c>
      <c r="C139" s="12"/>
      <c r="D139" s="4">
        <v>20</v>
      </c>
      <c r="E139" s="12">
        <f t="shared" si="6"/>
        <v>2</v>
      </c>
      <c r="F139" s="21">
        <f t="shared" si="7"/>
        <v>0.90909090909090906</v>
      </c>
      <c r="G139" s="30"/>
    </row>
    <row r="140" spans="1:7" hidden="1" x14ac:dyDescent="0.35">
      <c r="A140" s="13" t="s">
        <v>42</v>
      </c>
      <c r="B140" s="6">
        <f>20+10+14+22</f>
        <v>66</v>
      </c>
      <c r="C140" s="6"/>
      <c r="D140" s="6">
        <f>SUM(D136:D139)</f>
        <v>61</v>
      </c>
      <c r="E140" s="6">
        <f>SUM(E136:E139)</f>
        <v>5</v>
      </c>
      <c r="F140" s="25">
        <f t="shared" si="7"/>
        <v>0.9242424242424242</v>
      </c>
      <c r="G140" s="30"/>
    </row>
    <row r="141" spans="1:7" x14ac:dyDescent="0.35">
      <c r="A141" s="1" t="s">
        <v>160</v>
      </c>
      <c r="B141" s="3" t="s">
        <v>161</v>
      </c>
      <c r="C141" s="3">
        <v>46</v>
      </c>
      <c r="D141" s="4">
        <v>38</v>
      </c>
      <c r="E141" s="12">
        <f>C141-D141</f>
        <v>8</v>
      </c>
      <c r="F141" s="21">
        <v>0.9</v>
      </c>
      <c r="G141" s="30"/>
    </row>
    <row r="142" spans="1:7" x14ac:dyDescent="0.35">
      <c r="A142" s="1" t="s">
        <v>162</v>
      </c>
      <c r="B142" s="3" t="s">
        <v>91</v>
      </c>
      <c r="C142" s="3">
        <v>14</v>
      </c>
      <c r="D142" s="4">
        <v>14</v>
      </c>
      <c r="E142" s="12">
        <f>C142-D142</f>
        <v>0</v>
      </c>
      <c r="F142" s="21">
        <f>D142/C142</f>
        <v>1</v>
      </c>
      <c r="G142" s="30"/>
    </row>
    <row r="143" spans="1:7" x14ac:dyDescent="0.35">
      <c r="A143" s="1" t="s">
        <v>163</v>
      </c>
      <c r="B143" s="3">
        <v>13</v>
      </c>
      <c r="C143" s="3"/>
      <c r="D143" s="4">
        <v>5</v>
      </c>
      <c r="E143" s="12">
        <f t="shared" si="6"/>
        <v>8</v>
      </c>
      <c r="F143" s="21">
        <f t="shared" si="7"/>
        <v>0.38461538461538464</v>
      </c>
      <c r="G143" s="30"/>
    </row>
    <row r="144" spans="1:7" x14ac:dyDescent="0.35">
      <c r="A144" s="1" t="s">
        <v>164</v>
      </c>
      <c r="B144" s="3">
        <v>14</v>
      </c>
      <c r="C144" s="3"/>
      <c r="D144" s="4">
        <v>7</v>
      </c>
      <c r="E144" s="12">
        <f t="shared" si="6"/>
        <v>7</v>
      </c>
      <c r="F144" s="21">
        <f t="shared" si="7"/>
        <v>0.5</v>
      </c>
      <c r="G144" s="30"/>
    </row>
    <row r="145" spans="1:7" hidden="1" x14ac:dyDescent="0.35">
      <c r="A145" s="13" t="s">
        <v>42</v>
      </c>
      <c r="B145" s="6">
        <f>46+14+13+14</f>
        <v>87</v>
      </c>
      <c r="C145" s="6"/>
      <c r="D145" s="6">
        <f>SUM(D141:D144)</f>
        <v>64</v>
      </c>
      <c r="E145" s="6">
        <f>SUM(E141:E144)</f>
        <v>23</v>
      </c>
      <c r="F145" s="25">
        <f t="shared" si="7"/>
        <v>0.73563218390804597</v>
      </c>
      <c r="G145" s="30"/>
    </row>
    <row r="146" spans="1:7" x14ac:dyDescent="0.35">
      <c r="A146" s="1" t="s">
        <v>165</v>
      </c>
      <c r="B146" s="3">
        <v>37</v>
      </c>
      <c r="C146" s="3"/>
      <c r="D146" s="4">
        <v>25</v>
      </c>
      <c r="E146" s="12">
        <f t="shared" si="6"/>
        <v>12</v>
      </c>
      <c r="F146" s="21">
        <f t="shared" si="7"/>
        <v>0.67567567567567566</v>
      </c>
      <c r="G146" s="30"/>
    </row>
    <row r="147" spans="1:7" x14ac:dyDescent="0.35">
      <c r="A147" s="1" t="s">
        <v>166</v>
      </c>
      <c r="B147" s="3">
        <v>24</v>
      </c>
      <c r="C147" s="3"/>
      <c r="D147" s="4">
        <v>22</v>
      </c>
      <c r="E147" s="12">
        <f t="shared" si="6"/>
        <v>2</v>
      </c>
      <c r="F147" s="21">
        <f t="shared" si="7"/>
        <v>0.91666666666666663</v>
      </c>
      <c r="G147" s="30"/>
    </row>
    <row r="148" spans="1:7" x14ac:dyDescent="0.35">
      <c r="A148" s="1" t="s">
        <v>167</v>
      </c>
      <c r="B148" s="3">
        <v>15</v>
      </c>
      <c r="C148" s="3"/>
      <c r="D148" s="4">
        <v>9</v>
      </c>
      <c r="E148" s="12">
        <f t="shared" si="6"/>
        <v>6</v>
      </c>
      <c r="F148" s="21">
        <f t="shared" si="7"/>
        <v>0.6</v>
      </c>
      <c r="G148" s="30"/>
    </row>
    <row r="149" spans="1:7" hidden="1" x14ac:dyDescent="0.35">
      <c r="A149" s="13" t="s">
        <v>42</v>
      </c>
      <c r="B149" s="6">
        <f>SUM(B146:B148)</f>
        <v>76</v>
      </c>
      <c r="C149" s="6"/>
      <c r="D149" s="6">
        <f>SUM(D146:D148)</f>
        <v>56</v>
      </c>
      <c r="E149" s="6">
        <f>SUM(E146:E148)</f>
        <v>20</v>
      </c>
      <c r="F149" s="25">
        <f t="shared" si="7"/>
        <v>0.73684210526315785</v>
      </c>
      <c r="G149" s="30"/>
    </row>
    <row r="150" spans="1:7" x14ac:dyDescent="0.35">
      <c r="A150" s="1" t="s">
        <v>168</v>
      </c>
      <c r="B150" s="3" t="s">
        <v>169</v>
      </c>
      <c r="C150" s="3">
        <v>26</v>
      </c>
      <c r="D150" s="4">
        <v>10</v>
      </c>
      <c r="E150" s="12">
        <f>C150-D150</f>
        <v>16</v>
      </c>
      <c r="F150" s="21">
        <f>D150/C150</f>
        <v>0.38461538461538464</v>
      </c>
      <c r="G150" s="30"/>
    </row>
    <row r="151" spans="1:7" x14ac:dyDescent="0.35">
      <c r="A151" s="1" t="s">
        <v>170</v>
      </c>
      <c r="B151" s="3">
        <v>21</v>
      </c>
      <c r="C151" s="3"/>
      <c r="D151" s="4">
        <v>1</v>
      </c>
      <c r="E151" s="12">
        <f t="shared" si="6"/>
        <v>20</v>
      </c>
      <c r="F151" s="21">
        <f t="shared" si="7"/>
        <v>4.7619047619047616E-2</v>
      </c>
      <c r="G151" s="30"/>
    </row>
    <row r="152" spans="1:7" x14ac:dyDescent="0.35">
      <c r="A152" s="1" t="s">
        <v>171</v>
      </c>
      <c r="B152" s="3">
        <v>14</v>
      </c>
      <c r="C152" s="3"/>
      <c r="D152" s="4">
        <v>2</v>
      </c>
      <c r="E152" s="12">
        <f t="shared" si="6"/>
        <v>12</v>
      </c>
      <c r="F152" s="21">
        <f t="shared" si="7"/>
        <v>0.14285714285714285</v>
      </c>
      <c r="G152" s="30"/>
    </row>
    <row r="153" spans="1:7" hidden="1" x14ac:dyDescent="0.35">
      <c r="A153" s="13" t="s">
        <v>42</v>
      </c>
      <c r="B153" s="6">
        <f>26+21+14</f>
        <v>61</v>
      </c>
      <c r="C153" s="6"/>
      <c r="D153" s="6">
        <f>SUM(D150:D152)</f>
        <v>13</v>
      </c>
      <c r="E153" s="6">
        <f>SUM(E150:E152)</f>
        <v>48</v>
      </c>
      <c r="F153" s="25">
        <f t="shared" si="7"/>
        <v>0.21311475409836064</v>
      </c>
      <c r="G153" s="30"/>
    </row>
    <row r="154" spans="1:7" x14ac:dyDescent="0.35">
      <c r="A154" s="1" t="s">
        <v>172</v>
      </c>
      <c r="B154" s="3">
        <v>13</v>
      </c>
      <c r="C154" s="3"/>
      <c r="D154" s="4">
        <v>7</v>
      </c>
      <c r="E154" s="12">
        <f t="shared" si="6"/>
        <v>6</v>
      </c>
      <c r="F154" s="21">
        <f t="shared" si="7"/>
        <v>0.53846153846153844</v>
      </c>
      <c r="G154" s="30"/>
    </row>
    <row r="155" spans="1:7" x14ac:dyDescent="0.35">
      <c r="A155" s="1" t="s">
        <v>173</v>
      </c>
      <c r="B155" s="3">
        <v>14</v>
      </c>
      <c r="C155" s="3"/>
      <c r="D155" s="4">
        <v>1</v>
      </c>
      <c r="E155" s="12">
        <f t="shared" si="6"/>
        <v>13</v>
      </c>
      <c r="F155" s="21">
        <f t="shared" si="7"/>
        <v>7.1428571428571425E-2</v>
      </c>
      <c r="G155" s="30"/>
    </row>
    <row r="156" spans="1:7" x14ac:dyDescent="0.35">
      <c r="A156" s="1" t="s">
        <v>174</v>
      </c>
      <c r="B156" s="3">
        <v>18</v>
      </c>
      <c r="C156" s="3"/>
      <c r="D156" s="4">
        <v>18</v>
      </c>
      <c r="E156" s="12">
        <f t="shared" si="6"/>
        <v>0</v>
      </c>
      <c r="F156" s="21">
        <f t="shared" si="7"/>
        <v>1</v>
      </c>
      <c r="G156" s="30"/>
    </row>
    <row r="157" spans="1:7" x14ac:dyDescent="0.35">
      <c r="A157" s="1" t="s">
        <v>175</v>
      </c>
      <c r="B157" s="3">
        <v>34</v>
      </c>
      <c r="C157" s="3"/>
      <c r="D157" s="4">
        <v>34</v>
      </c>
      <c r="E157" s="12">
        <f t="shared" si="6"/>
        <v>0</v>
      </c>
      <c r="F157" s="21">
        <f t="shared" si="7"/>
        <v>1</v>
      </c>
      <c r="G157" s="30"/>
    </row>
    <row r="158" spans="1:7" x14ac:dyDescent="0.35">
      <c r="A158" s="1" t="s">
        <v>176</v>
      </c>
      <c r="B158" s="3">
        <v>28</v>
      </c>
      <c r="C158" s="3"/>
      <c r="D158" s="4">
        <v>22</v>
      </c>
      <c r="E158" s="12">
        <f t="shared" si="6"/>
        <v>6</v>
      </c>
      <c r="F158" s="21">
        <f t="shared" si="7"/>
        <v>0.7857142857142857</v>
      </c>
      <c r="G158" s="30"/>
    </row>
    <row r="159" spans="1:7" hidden="1" x14ac:dyDescent="0.35">
      <c r="A159" s="13" t="s">
        <v>42</v>
      </c>
      <c r="B159" s="6">
        <f>SUM(B154:B158)</f>
        <v>107</v>
      </c>
      <c r="C159" s="6"/>
      <c r="D159" s="6">
        <f>SUM(D154:D158)</f>
        <v>82</v>
      </c>
      <c r="E159" s="6">
        <f>SUM(E154:E158)</f>
        <v>25</v>
      </c>
      <c r="F159" s="25">
        <f t="shared" si="7"/>
        <v>0.76635514018691586</v>
      </c>
      <c r="G159" s="30"/>
    </row>
    <row r="160" spans="1:7" x14ac:dyDescent="0.35">
      <c r="A160" s="13" t="s">
        <v>273</v>
      </c>
      <c r="B160" s="6">
        <f>SUM(B111,B116,B119,B125,B130,B135,B140,B145,B153,B149,B159)</f>
        <v>901</v>
      </c>
      <c r="C160" s="6"/>
      <c r="D160" s="6">
        <f>SUM(D111,D116,D119,D125,D130,D135,D140,D145,D153,D149,D159)</f>
        <v>684</v>
      </c>
      <c r="E160" s="6">
        <f>B160-D160</f>
        <v>217</v>
      </c>
      <c r="F160" s="25">
        <f t="shared" si="7"/>
        <v>0.75915649278579356</v>
      </c>
      <c r="G160" s="30"/>
    </row>
    <row r="161" spans="1:7" x14ac:dyDescent="0.35">
      <c r="A161" s="1" t="s">
        <v>21</v>
      </c>
      <c r="B161" s="3">
        <v>31</v>
      </c>
      <c r="C161" s="3"/>
      <c r="D161" s="4">
        <v>31</v>
      </c>
      <c r="E161" s="12">
        <f t="shared" ref="E161:E175" si="8">B161-D161</f>
        <v>0</v>
      </c>
      <c r="F161" s="21">
        <f t="shared" si="7"/>
        <v>1</v>
      </c>
      <c r="G161" s="30"/>
    </row>
    <row r="162" spans="1:7" x14ac:dyDescent="0.35">
      <c r="A162" s="1" t="s">
        <v>178</v>
      </c>
      <c r="B162" s="3">
        <v>35</v>
      </c>
      <c r="C162" s="3"/>
      <c r="D162" s="4">
        <v>35</v>
      </c>
      <c r="E162" s="12">
        <f t="shared" si="8"/>
        <v>0</v>
      </c>
      <c r="F162" s="21">
        <f t="shared" si="7"/>
        <v>1</v>
      </c>
      <c r="G162" s="30"/>
    </row>
    <row r="163" spans="1:7" x14ac:dyDescent="0.35">
      <c r="A163" s="1" t="s">
        <v>179</v>
      </c>
      <c r="B163" s="3">
        <v>14</v>
      </c>
      <c r="C163" s="3"/>
      <c r="D163" s="4">
        <v>13</v>
      </c>
      <c r="E163" s="12">
        <f t="shared" si="8"/>
        <v>1</v>
      </c>
      <c r="F163" s="21">
        <f t="shared" si="7"/>
        <v>0.9285714285714286</v>
      </c>
      <c r="G163" s="30"/>
    </row>
    <row r="164" spans="1:7" x14ac:dyDescent="0.35">
      <c r="A164" s="1" t="s">
        <v>180</v>
      </c>
      <c r="B164" s="3">
        <v>30</v>
      </c>
      <c r="C164" s="3"/>
      <c r="D164" s="4">
        <v>30</v>
      </c>
      <c r="E164" s="12">
        <f t="shared" si="8"/>
        <v>0</v>
      </c>
      <c r="F164" s="21">
        <f t="shared" si="7"/>
        <v>1</v>
      </c>
      <c r="G164" s="30"/>
    </row>
    <row r="165" spans="1:7" x14ac:dyDescent="0.35">
      <c r="A165" s="1" t="s">
        <v>181</v>
      </c>
      <c r="B165" s="3">
        <v>19</v>
      </c>
      <c r="C165" s="3"/>
      <c r="D165" s="4">
        <v>19</v>
      </c>
      <c r="E165" s="12">
        <f t="shared" si="8"/>
        <v>0</v>
      </c>
      <c r="F165" s="21">
        <f t="shared" si="7"/>
        <v>1</v>
      </c>
      <c r="G165" s="30"/>
    </row>
    <row r="166" spans="1:7" hidden="1" x14ac:dyDescent="0.35">
      <c r="A166" s="13" t="s">
        <v>42</v>
      </c>
      <c r="B166" s="6">
        <f>SUM(B161:B165)</f>
        <v>129</v>
      </c>
      <c r="C166" s="6"/>
      <c r="D166" s="6">
        <f>SUM(D161:D165)</f>
        <v>128</v>
      </c>
      <c r="E166" s="6">
        <f>SUM(E161:E165)</f>
        <v>1</v>
      </c>
      <c r="F166" s="25">
        <f t="shared" si="7"/>
        <v>0.99224806201550386</v>
      </c>
      <c r="G166" s="30"/>
    </row>
    <row r="167" spans="1:7" x14ac:dyDescent="0.35">
      <c r="A167" s="1" t="s">
        <v>182</v>
      </c>
      <c r="B167" s="3">
        <v>41</v>
      </c>
      <c r="C167" s="3"/>
      <c r="D167" s="4">
        <v>41</v>
      </c>
      <c r="E167" s="12">
        <f t="shared" si="8"/>
        <v>0</v>
      </c>
      <c r="F167" s="21">
        <f t="shared" si="7"/>
        <v>1</v>
      </c>
      <c r="G167" s="30"/>
    </row>
    <row r="168" spans="1:7" x14ac:dyDescent="0.35">
      <c r="A168" s="1" t="s">
        <v>183</v>
      </c>
      <c r="B168" s="3">
        <v>38</v>
      </c>
      <c r="C168" s="3"/>
      <c r="D168" s="4">
        <v>37</v>
      </c>
      <c r="E168" s="12">
        <f t="shared" si="8"/>
        <v>1</v>
      </c>
      <c r="F168" s="21">
        <f t="shared" si="7"/>
        <v>0.97368421052631582</v>
      </c>
      <c r="G168" s="30"/>
    </row>
    <row r="169" spans="1:7" x14ac:dyDescent="0.35">
      <c r="A169" s="1" t="s">
        <v>184</v>
      </c>
      <c r="B169" s="3">
        <v>36</v>
      </c>
      <c r="C169" s="3"/>
      <c r="D169" s="4">
        <v>36</v>
      </c>
      <c r="E169" s="12">
        <f t="shared" si="8"/>
        <v>0</v>
      </c>
      <c r="F169" s="21">
        <f t="shared" si="7"/>
        <v>1</v>
      </c>
      <c r="G169" s="30"/>
    </row>
    <row r="170" spans="1:7" x14ac:dyDescent="0.35">
      <c r="A170" s="1" t="s">
        <v>185</v>
      </c>
      <c r="B170" s="3">
        <v>12</v>
      </c>
      <c r="C170" s="3"/>
      <c r="D170" s="4">
        <v>12</v>
      </c>
      <c r="E170" s="12">
        <f t="shared" si="8"/>
        <v>0</v>
      </c>
      <c r="F170" s="21">
        <f t="shared" si="7"/>
        <v>1</v>
      </c>
      <c r="G170" s="30"/>
    </row>
    <row r="171" spans="1:7" hidden="1" x14ac:dyDescent="0.35">
      <c r="A171" s="13" t="s">
        <v>42</v>
      </c>
      <c r="B171" s="6">
        <f>SUM(B167:B170)</f>
        <v>127</v>
      </c>
      <c r="C171" s="6"/>
      <c r="D171" s="6">
        <f>SUM(D167:D170)</f>
        <v>126</v>
      </c>
      <c r="E171" s="6">
        <f>SUM(E167:E170)</f>
        <v>1</v>
      </c>
      <c r="F171" s="25">
        <f t="shared" si="7"/>
        <v>0.99212598425196852</v>
      </c>
      <c r="G171" s="30"/>
    </row>
    <row r="172" spans="1:7" x14ac:dyDescent="0.35">
      <c r="A172" s="1" t="s">
        <v>20</v>
      </c>
      <c r="B172" s="3">
        <v>45</v>
      </c>
      <c r="C172" s="3"/>
      <c r="D172" s="4">
        <v>45</v>
      </c>
      <c r="E172" s="12">
        <f t="shared" si="8"/>
        <v>0</v>
      </c>
      <c r="F172" s="21">
        <f t="shared" si="7"/>
        <v>1</v>
      </c>
      <c r="G172" s="30"/>
    </row>
    <row r="173" spans="1:7" x14ac:dyDescent="0.35">
      <c r="A173" s="1" t="s">
        <v>186</v>
      </c>
      <c r="B173" s="3">
        <v>30</v>
      </c>
      <c r="C173" s="3"/>
      <c r="D173" s="4">
        <v>30</v>
      </c>
      <c r="E173" s="12">
        <f t="shared" si="8"/>
        <v>0</v>
      </c>
      <c r="F173" s="21">
        <f t="shared" si="7"/>
        <v>1</v>
      </c>
      <c r="G173" s="30"/>
    </row>
    <row r="174" spans="1:7" x14ac:dyDescent="0.35">
      <c r="A174" s="1" t="s">
        <v>19</v>
      </c>
      <c r="B174" s="3">
        <v>22</v>
      </c>
      <c r="C174" s="3"/>
      <c r="D174" s="4">
        <v>22</v>
      </c>
      <c r="E174" s="12">
        <f t="shared" si="8"/>
        <v>0</v>
      </c>
      <c r="F174" s="21">
        <f t="shared" si="7"/>
        <v>1</v>
      </c>
      <c r="G174" s="30"/>
    </row>
    <row r="175" spans="1:7" x14ac:dyDescent="0.35">
      <c r="A175" s="1" t="s">
        <v>187</v>
      </c>
      <c r="B175" s="3">
        <v>16</v>
      </c>
      <c r="C175" s="3"/>
      <c r="D175" s="4">
        <v>16</v>
      </c>
      <c r="E175" s="12">
        <f t="shared" si="8"/>
        <v>0</v>
      </c>
      <c r="F175" s="21">
        <f t="shared" si="7"/>
        <v>1</v>
      </c>
      <c r="G175" s="30"/>
    </row>
    <row r="176" spans="1:7" hidden="1" x14ac:dyDescent="0.35">
      <c r="A176" s="13" t="s">
        <v>42</v>
      </c>
      <c r="B176" s="6">
        <f>SUM(B172:B175)</f>
        <v>113</v>
      </c>
      <c r="C176" s="6"/>
      <c r="D176" s="6">
        <f>SUM(D172:D175)</f>
        <v>113</v>
      </c>
      <c r="E176" s="6">
        <f>SUM(E172:E175)</f>
        <v>0</v>
      </c>
      <c r="F176" s="25">
        <f t="shared" si="7"/>
        <v>1</v>
      </c>
      <c r="G176" s="30"/>
    </row>
    <row r="177" spans="1:7" x14ac:dyDescent="0.35">
      <c r="A177" s="1" t="s">
        <v>22</v>
      </c>
      <c r="B177" s="3">
        <v>32</v>
      </c>
      <c r="C177" s="3"/>
      <c r="D177" s="4">
        <v>31</v>
      </c>
      <c r="E177" s="12">
        <f>B177-D177</f>
        <v>1</v>
      </c>
      <c r="F177" s="21">
        <f t="shared" si="7"/>
        <v>0.96875</v>
      </c>
      <c r="G177" s="30"/>
    </row>
    <row r="178" spans="1:7" x14ac:dyDescent="0.35">
      <c r="A178" s="1" t="s">
        <v>188</v>
      </c>
      <c r="B178" s="3">
        <v>12</v>
      </c>
      <c r="C178" s="3"/>
      <c r="D178" s="4">
        <v>11</v>
      </c>
      <c r="E178" s="12">
        <f>B178-D178</f>
        <v>1</v>
      </c>
      <c r="F178" s="21">
        <v>0.9</v>
      </c>
      <c r="G178" s="30"/>
    </row>
    <row r="179" spans="1:7" x14ac:dyDescent="0.35">
      <c r="A179" s="1" t="s">
        <v>189</v>
      </c>
      <c r="B179" s="3">
        <v>15</v>
      </c>
      <c r="C179" s="3"/>
      <c r="D179" s="4">
        <v>14</v>
      </c>
      <c r="E179" s="12">
        <f>B179-D179</f>
        <v>1</v>
      </c>
      <c r="F179" s="21">
        <f t="shared" si="7"/>
        <v>0.93333333333333335</v>
      </c>
      <c r="G179" s="30"/>
    </row>
    <row r="180" spans="1:7" x14ac:dyDescent="0.35">
      <c r="A180" s="1" t="s">
        <v>190</v>
      </c>
      <c r="B180" s="3">
        <v>9</v>
      </c>
      <c r="C180" s="3"/>
      <c r="D180" s="4">
        <v>8</v>
      </c>
      <c r="E180" s="12">
        <f>B180-D180</f>
        <v>1</v>
      </c>
      <c r="F180" s="21">
        <v>0.9</v>
      </c>
      <c r="G180" s="30"/>
    </row>
    <row r="181" spans="1:7" x14ac:dyDescent="0.35">
      <c r="A181" s="1" t="s">
        <v>191</v>
      </c>
      <c r="B181" s="3">
        <v>14</v>
      </c>
      <c r="C181" s="3"/>
      <c r="D181" s="4">
        <v>12</v>
      </c>
      <c r="E181" s="12">
        <f>B181-D181</f>
        <v>2</v>
      </c>
      <c r="F181" s="21">
        <v>0.9</v>
      </c>
      <c r="G181" s="30"/>
    </row>
    <row r="182" spans="1:7" hidden="1" x14ac:dyDescent="0.35">
      <c r="A182" s="13" t="s">
        <v>42</v>
      </c>
      <c r="B182" s="6">
        <f>SUM(B177:B181)</f>
        <v>82</v>
      </c>
      <c r="C182" s="6"/>
      <c r="D182" s="6">
        <f>SUM(D177:D181)</f>
        <v>76</v>
      </c>
      <c r="E182" s="6">
        <f>SUM(E177:E181)</f>
        <v>6</v>
      </c>
      <c r="F182" s="25">
        <f t="shared" si="7"/>
        <v>0.92682926829268297</v>
      </c>
      <c r="G182" s="30"/>
    </row>
    <row r="183" spans="1:7" x14ac:dyDescent="0.35">
      <c r="A183" s="1" t="s">
        <v>192</v>
      </c>
      <c r="B183" s="3">
        <v>31</v>
      </c>
      <c r="C183" s="3"/>
      <c r="D183" s="4">
        <v>30</v>
      </c>
      <c r="E183" s="12">
        <f>B183-D183</f>
        <v>1</v>
      </c>
      <c r="F183" s="21">
        <f t="shared" si="7"/>
        <v>0.967741935483871</v>
      </c>
      <c r="G183" s="30"/>
    </row>
    <row r="184" spans="1:7" x14ac:dyDescent="0.35">
      <c r="A184" s="1" t="s">
        <v>193</v>
      </c>
      <c r="B184" s="3">
        <v>31</v>
      </c>
      <c r="C184" s="3"/>
      <c r="D184" s="4">
        <v>31</v>
      </c>
      <c r="E184" s="12">
        <f>B184-D184</f>
        <v>0</v>
      </c>
      <c r="F184" s="21">
        <f t="shared" si="7"/>
        <v>1</v>
      </c>
      <c r="G184" s="30"/>
    </row>
    <row r="185" spans="1:7" x14ac:dyDescent="0.35">
      <c r="A185" s="1" t="s">
        <v>194</v>
      </c>
      <c r="B185" s="3">
        <v>39</v>
      </c>
      <c r="C185" s="3"/>
      <c r="D185" s="4">
        <v>39</v>
      </c>
      <c r="E185" s="12">
        <f>B185-D185</f>
        <v>0</v>
      </c>
      <c r="F185" s="21">
        <f t="shared" si="7"/>
        <v>1</v>
      </c>
      <c r="G185" s="30"/>
    </row>
    <row r="186" spans="1:7" x14ac:dyDescent="0.35">
      <c r="A186" s="1" t="s">
        <v>195</v>
      </c>
      <c r="B186" s="3">
        <v>16</v>
      </c>
      <c r="C186" s="3"/>
      <c r="D186" s="4">
        <v>16</v>
      </c>
      <c r="E186" s="12">
        <f>B186-D186</f>
        <v>0</v>
      </c>
      <c r="F186" s="21">
        <f t="shared" si="7"/>
        <v>1</v>
      </c>
      <c r="G186" s="30"/>
    </row>
    <row r="187" spans="1:7" hidden="1" x14ac:dyDescent="0.35">
      <c r="A187" s="13" t="s">
        <v>42</v>
      </c>
      <c r="B187" s="6">
        <f>SUM(B183:B186)</f>
        <v>117</v>
      </c>
      <c r="C187" s="6"/>
      <c r="D187" s="6">
        <f>SUM(D183:D186)</f>
        <v>116</v>
      </c>
      <c r="E187" s="6">
        <f>SUM(E183:E186)</f>
        <v>1</v>
      </c>
      <c r="F187" s="25">
        <f t="shared" si="7"/>
        <v>0.99145299145299148</v>
      </c>
      <c r="G187" s="30"/>
    </row>
    <row r="188" spans="1:7" x14ac:dyDescent="0.35">
      <c r="A188" s="13" t="s">
        <v>177</v>
      </c>
      <c r="B188" s="6">
        <f>SUM(B166,B171,B176,B182,B187)</f>
        <v>568</v>
      </c>
      <c r="C188" s="6"/>
      <c r="D188" s="6">
        <f>SUM(D166,D171,D176,D182,D187)</f>
        <v>559</v>
      </c>
      <c r="E188" s="6">
        <f>B188-D188</f>
        <v>9</v>
      </c>
      <c r="F188" s="25">
        <f t="shared" si="7"/>
        <v>0.98415492957746475</v>
      </c>
      <c r="G188" s="30"/>
    </row>
    <row r="189" spans="1:7" x14ac:dyDescent="0.35">
      <c r="A189" s="1" t="s">
        <v>197</v>
      </c>
      <c r="B189" s="3">
        <v>32</v>
      </c>
      <c r="C189" s="3"/>
      <c r="D189" s="4">
        <v>30</v>
      </c>
      <c r="E189" s="12">
        <f t="shared" ref="E189:E194" si="9">B189-D189</f>
        <v>2</v>
      </c>
      <c r="F189" s="21">
        <f t="shared" si="7"/>
        <v>0.9375</v>
      </c>
      <c r="G189" s="30"/>
    </row>
    <row r="190" spans="1:7" x14ac:dyDescent="0.35">
      <c r="A190" s="1" t="s">
        <v>198</v>
      </c>
      <c r="B190" s="3">
        <v>19</v>
      </c>
      <c r="C190" s="3"/>
      <c r="D190" s="4">
        <v>18</v>
      </c>
      <c r="E190" s="12">
        <f t="shared" si="9"/>
        <v>1</v>
      </c>
      <c r="F190" s="21">
        <f t="shared" si="7"/>
        <v>0.94736842105263153</v>
      </c>
      <c r="G190" s="30"/>
    </row>
    <row r="191" spans="1:7" x14ac:dyDescent="0.35">
      <c r="A191" s="1" t="s">
        <v>25</v>
      </c>
      <c r="B191" s="3">
        <v>25</v>
      </c>
      <c r="C191" s="3"/>
      <c r="D191" s="4">
        <v>23</v>
      </c>
      <c r="E191" s="12">
        <f t="shared" si="9"/>
        <v>2</v>
      </c>
      <c r="F191" s="21">
        <f t="shared" si="7"/>
        <v>0.92</v>
      </c>
      <c r="G191" s="30"/>
    </row>
    <row r="192" spans="1:7" x14ac:dyDescent="0.35">
      <c r="A192" s="1" t="s">
        <v>199</v>
      </c>
      <c r="B192" s="3">
        <v>19</v>
      </c>
      <c r="C192" s="3"/>
      <c r="D192" s="4">
        <v>19</v>
      </c>
      <c r="E192" s="12">
        <f t="shared" si="9"/>
        <v>0</v>
      </c>
      <c r="F192" s="21">
        <f t="shared" si="7"/>
        <v>1</v>
      </c>
      <c r="G192" s="30"/>
    </row>
    <row r="193" spans="1:7" x14ac:dyDescent="0.35">
      <c r="A193" s="1" t="s">
        <v>200</v>
      </c>
      <c r="B193" s="3" t="s">
        <v>201</v>
      </c>
      <c r="C193" s="3">
        <v>21</v>
      </c>
      <c r="D193" s="4">
        <v>21</v>
      </c>
      <c r="E193" s="12">
        <f>C193-D193</f>
        <v>0</v>
      </c>
      <c r="F193" s="21">
        <f>D193/C193</f>
        <v>1</v>
      </c>
      <c r="G193" s="30"/>
    </row>
    <row r="194" spans="1:7" x14ac:dyDescent="0.35">
      <c r="A194" s="1" t="s">
        <v>202</v>
      </c>
      <c r="B194" s="3">
        <v>11</v>
      </c>
      <c r="C194" s="3"/>
      <c r="D194" s="4">
        <v>11</v>
      </c>
      <c r="E194" s="12">
        <f t="shared" si="9"/>
        <v>0</v>
      </c>
      <c r="F194" s="21">
        <f t="shared" si="7"/>
        <v>1</v>
      </c>
      <c r="G194" s="30"/>
    </row>
    <row r="195" spans="1:7" hidden="1" x14ac:dyDescent="0.35">
      <c r="A195" s="13" t="s">
        <v>42</v>
      </c>
      <c r="B195" s="14">
        <f>SUM(B189:B192)+21+11</f>
        <v>127</v>
      </c>
      <c r="C195" s="14"/>
      <c r="D195" s="14">
        <f>SUM(D189:D194)</f>
        <v>122</v>
      </c>
      <c r="E195" s="14">
        <f>SUM(E189:E194)</f>
        <v>5</v>
      </c>
      <c r="F195" s="25">
        <f t="shared" ref="F195:F258" si="10">D195/B195</f>
        <v>0.96062992125984248</v>
      </c>
      <c r="G195" s="31"/>
    </row>
    <row r="196" spans="1:7" x14ac:dyDescent="0.35">
      <c r="A196" s="1" t="s">
        <v>26</v>
      </c>
      <c r="B196" s="3">
        <v>34</v>
      </c>
      <c r="C196" s="3"/>
      <c r="D196" s="4">
        <v>33</v>
      </c>
      <c r="E196" s="12">
        <f t="shared" ref="E196:E201" si="11">B196-D196</f>
        <v>1</v>
      </c>
      <c r="F196" s="21">
        <f t="shared" si="10"/>
        <v>0.97058823529411764</v>
      </c>
      <c r="G196" s="30"/>
    </row>
    <row r="197" spans="1:7" x14ac:dyDescent="0.35">
      <c r="A197" s="1" t="s">
        <v>203</v>
      </c>
      <c r="B197" s="3">
        <v>32</v>
      </c>
      <c r="C197" s="3"/>
      <c r="D197" s="4">
        <v>31</v>
      </c>
      <c r="E197" s="12">
        <f t="shared" si="11"/>
        <v>1</v>
      </c>
      <c r="F197" s="21">
        <f t="shared" si="10"/>
        <v>0.96875</v>
      </c>
      <c r="G197" s="30"/>
    </row>
    <row r="198" spans="1:7" x14ac:dyDescent="0.35">
      <c r="A198" s="1" t="s">
        <v>47</v>
      </c>
      <c r="B198" s="3">
        <v>31</v>
      </c>
      <c r="C198" s="3"/>
      <c r="D198" s="4">
        <v>30</v>
      </c>
      <c r="E198" s="12">
        <f t="shared" si="11"/>
        <v>1</v>
      </c>
      <c r="F198" s="21">
        <f t="shared" si="10"/>
        <v>0.967741935483871</v>
      </c>
      <c r="G198" s="30"/>
    </row>
    <row r="199" spans="1:7" x14ac:dyDescent="0.35">
      <c r="A199" s="1" t="s">
        <v>27</v>
      </c>
      <c r="B199" s="3">
        <v>29</v>
      </c>
      <c r="C199" s="3"/>
      <c r="D199" s="4">
        <v>28</v>
      </c>
      <c r="E199" s="12">
        <f t="shared" si="11"/>
        <v>1</v>
      </c>
      <c r="F199" s="21">
        <f t="shared" si="10"/>
        <v>0.96551724137931039</v>
      </c>
      <c r="G199" s="30"/>
    </row>
    <row r="200" spans="1:7" x14ac:dyDescent="0.35">
      <c r="A200" s="1" t="s">
        <v>204</v>
      </c>
      <c r="B200" s="3">
        <v>8</v>
      </c>
      <c r="C200" s="3"/>
      <c r="D200" s="4">
        <v>8</v>
      </c>
      <c r="E200" s="12">
        <f t="shared" si="11"/>
        <v>0</v>
      </c>
      <c r="F200" s="21">
        <f t="shared" si="10"/>
        <v>1</v>
      </c>
      <c r="G200" s="30"/>
    </row>
    <row r="201" spans="1:7" x14ac:dyDescent="0.35">
      <c r="A201" s="1" t="s">
        <v>205</v>
      </c>
      <c r="B201" s="3">
        <v>9</v>
      </c>
      <c r="C201" s="3"/>
      <c r="D201" s="4">
        <v>9</v>
      </c>
      <c r="E201" s="12">
        <f t="shared" si="11"/>
        <v>0</v>
      </c>
      <c r="F201" s="21">
        <f t="shared" si="10"/>
        <v>1</v>
      </c>
      <c r="G201" s="30"/>
    </row>
    <row r="202" spans="1:7" hidden="1" x14ac:dyDescent="0.35">
      <c r="A202" s="13" t="s">
        <v>42</v>
      </c>
      <c r="B202" s="14">
        <f>SUM(B196:B201)</f>
        <v>143</v>
      </c>
      <c r="C202" s="14"/>
      <c r="D202" s="14">
        <f>SUM(D196:D201)</f>
        <v>139</v>
      </c>
      <c r="E202" s="14">
        <f>SUM(E196:E201)</f>
        <v>4</v>
      </c>
      <c r="F202" s="25">
        <f t="shared" si="10"/>
        <v>0.97202797202797198</v>
      </c>
      <c r="G202" s="31"/>
    </row>
    <row r="203" spans="1:7" x14ac:dyDescent="0.35">
      <c r="A203" s="1" t="s">
        <v>46</v>
      </c>
      <c r="B203" s="3">
        <v>45</v>
      </c>
      <c r="C203" s="3"/>
      <c r="D203" s="4">
        <v>43</v>
      </c>
      <c r="E203" s="12">
        <f>B203-D203</f>
        <v>2</v>
      </c>
      <c r="F203" s="21">
        <f t="shared" si="10"/>
        <v>0.9555555555555556</v>
      </c>
      <c r="G203" s="30"/>
    </row>
    <row r="204" spans="1:7" x14ac:dyDescent="0.35">
      <c r="A204" s="1" t="s">
        <v>24</v>
      </c>
      <c r="B204" s="3">
        <v>33</v>
      </c>
      <c r="C204" s="3"/>
      <c r="D204" s="4">
        <v>33</v>
      </c>
      <c r="E204" s="12">
        <f>B204-D204</f>
        <v>0</v>
      </c>
      <c r="F204" s="21">
        <f t="shared" si="10"/>
        <v>1</v>
      </c>
      <c r="G204" s="30"/>
    </row>
    <row r="205" spans="1:7" hidden="1" x14ac:dyDescent="0.35">
      <c r="A205" s="13" t="s">
        <v>42</v>
      </c>
      <c r="B205" s="14">
        <f>SUM(B203:B204)</f>
        <v>78</v>
      </c>
      <c r="C205" s="14"/>
      <c r="D205" s="14">
        <f>SUM(D203:D204)</f>
        <v>76</v>
      </c>
      <c r="E205" s="14">
        <f>SUM(E203:E204)</f>
        <v>2</v>
      </c>
      <c r="F205" s="25">
        <f t="shared" si="10"/>
        <v>0.97435897435897434</v>
      </c>
      <c r="G205" s="31"/>
    </row>
    <row r="206" spans="1:7" x14ac:dyDescent="0.35">
      <c r="A206" s="1" t="s">
        <v>45</v>
      </c>
      <c r="B206" s="3">
        <v>38</v>
      </c>
      <c r="C206" s="3"/>
      <c r="D206" s="4">
        <v>37</v>
      </c>
      <c r="E206" s="12">
        <f>B206-D206</f>
        <v>1</v>
      </c>
      <c r="F206" s="21">
        <f t="shared" si="10"/>
        <v>0.97368421052631582</v>
      </c>
      <c r="G206" s="30"/>
    </row>
    <row r="207" spans="1:7" x14ac:dyDescent="0.35">
      <c r="A207" s="1" t="s">
        <v>206</v>
      </c>
      <c r="B207" s="3">
        <v>14</v>
      </c>
      <c r="C207" s="3"/>
      <c r="D207" s="4">
        <v>13</v>
      </c>
      <c r="E207" s="12">
        <f>B207-D207</f>
        <v>1</v>
      </c>
      <c r="F207" s="21">
        <f t="shared" si="10"/>
        <v>0.9285714285714286</v>
      </c>
      <c r="G207" s="30"/>
    </row>
    <row r="208" spans="1:7" hidden="1" x14ac:dyDescent="0.35">
      <c r="A208" s="13" t="s">
        <v>42</v>
      </c>
      <c r="B208" s="14">
        <f>SUM(B206:B207)</f>
        <v>52</v>
      </c>
      <c r="C208" s="14"/>
      <c r="D208" s="14">
        <f>SUM(D206:D207)</f>
        <v>50</v>
      </c>
      <c r="E208" s="14">
        <f>SUM(E206:E207)</f>
        <v>2</v>
      </c>
      <c r="F208" s="25">
        <f t="shared" si="10"/>
        <v>0.96153846153846156</v>
      </c>
      <c r="G208" s="31"/>
    </row>
    <row r="209" spans="1:7" x14ac:dyDescent="0.35">
      <c r="A209" s="13" t="s">
        <v>196</v>
      </c>
      <c r="B209" s="14">
        <f>SUM(B195,B202,B205,B208)</f>
        <v>400</v>
      </c>
      <c r="C209" s="14"/>
      <c r="D209" s="14">
        <f>SUM(D195,D202,D205,D208)</f>
        <v>387</v>
      </c>
      <c r="E209" s="6">
        <f>B209-D209</f>
        <v>13</v>
      </c>
      <c r="F209" s="25">
        <f t="shared" si="10"/>
        <v>0.96750000000000003</v>
      </c>
      <c r="G209" s="31"/>
    </row>
    <row r="210" spans="1:7" x14ac:dyDescent="0.35">
      <c r="A210" s="1" t="s">
        <v>208</v>
      </c>
      <c r="B210" s="3">
        <v>26</v>
      </c>
      <c r="C210" s="3"/>
      <c r="D210" s="4">
        <v>25</v>
      </c>
      <c r="E210" s="12">
        <f>B210-D210</f>
        <v>1</v>
      </c>
      <c r="F210" s="21">
        <f t="shared" si="10"/>
        <v>0.96153846153846156</v>
      </c>
      <c r="G210" s="30"/>
    </row>
    <row r="211" spans="1:7" x14ac:dyDescent="0.35">
      <c r="A211" s="1" t="s">
        <v>16</v>
      </c>
      <c r="B211" s="3">
        <v>41</v>
      </c>
      <c r="C211" s="3"/>
      <c r="D211" s="4">
        <v>38</v>
      </c>
      <c r="E211" s="12">
        <f>B211-D211</f>
        <v>3</v>
      </c>
      <c r="F211" s="21">
        <f t="shared" si="10"/>
        <v>0.92682926829268297</v>
      </c>
      <c r="G211" s="30"/>
    </row>
    <row r="212" spans="1:7" x14ac:dyDescent="0.35">
      <c r="A212" s="1" t="s">
        <v>209</v>
      </c>
      <c r="B212" s="3" t="s">
        <v>210</v>
      </c>
      <c r="C212" s="3">
        <v>52</v>
      </c>
      <c r="D212" s="4">
        <v>49</v>
      </c>
      <c r="E212" s="12">
        <f>C212-D212</f>
        <v>3</v>
      </c>
      <c r="F212" s="21">
        <f>D212/C212</f>
        <v>0.94230769230769229</v>
      </c>
      <c r="G212" s="30"/>
    </row>
    <row r="213" spans="1:7" x14ac:dyDescent="0.35">
      <c r="A213" s="1" t="s">
        <v>17</v>
      </c>
      <c r="B213" s="3">
        <v>35</v>
      </c>
      <c r="C213" s="3"/>
      <c r="D213" s="4">
        <v>33</v>
      </c>
      <c r="E213" s="12">
        <f>B213-D213</f>
        <v>2</v>
      </c>
      <c r="F213" s="21">
        <f t="shared" si="10"/>
        <v>0.94285714285714284</v>
      </c>
      <c r="G213" s="30"/>
    </row>
    <row r="214" spans="1:7" hidden="1" x14ac:dyDescent="0.35">
      <c r="A214" s="13" t="s">
        <v>42</v>
      </c>
      <c r="B214" s="6">
        <f>26+41+52+35</f>
        <v>154</v>
      </c>
      <c r="C214" s="6"/>
      <c r="D214" s="6">
        <f>SUM(D210:D213)</f>
        <v>145</v>
      </c>
      <c r="E214" s="6">
        <f>SUM(E210:E213)</f>
        <v>9</v>
      </c>
      <c r="F214" s="25">
        <f t="shared" si="10"/>
        <v>0.94155844155844159</v>
      </c>
      <c r="G214" s="30"/>
    </row>
    <row r="215" spans="1:7" x14ac:dyDescent="0.35">
      <c r="A215" s="1" t="s">
        <v>211</v>
      </c>
      <c r="B215" s="3">
        <v>14</v>
      </c>
      <c r="C215" s="3"/>
      <c r="D215" s="4">
        <v>14</v>
      </c>
      <c r="E215" s="12">
        <f>B215-D215</f>
        <v>0</v>
      </c>
      <c r="F215" s="21">
        <f t="shared" si="10"/>
        <v>1</v>
      </c>
      <c r="G215" s="30"/>
    </row>
    <row r="216" spans="1:7" x14ac:dyDescent="0.35">
      <c r="A216" s="1" t="s">
        <v>212</v>
      </c>
      <c r="B216" s="3">
        <v>14</v>
      </c>
      <c r="C216" s="3"/>
      <c r="D216" s="4">
        <v>14</v>
      </c>
      <c r="E216" s="12">
        <f>B216-D216</f>
        <v>0</v>
      </c>
      <c r="F216" s="21">
        <f t="shared" si="10"/>
        <v>1</v>
      </c>
      <c r="G216" s="30"/>
    </row>
    <row r="217" spans="1:7" x14ac:dyDescent="0.35">
      <c r="A217" s="1" t="s">
        <v>213</v>
      </c>
      <c r="B217" s="3">
        <v>35</v>
      </c>
      <c r="C217" s="3"/>
      <c r="D217" s="4">
        <v>34</v>
      </c>
      <c r="E217" s="12">
        <f>B217-D217</f>
        <v>1</v>
      </c>
      <c r="F217" s="21">
        <f t="shared" si="10"/>
        <v>0.97142857142857142</v>
      </c>
      <c r="G217" s="30"/>
    </row>
    <row r="218" spans="1:7" x14ac:dyDescent="0.35">
      <c r="A218" s="1" t="s">
        <v>214</v>
      </c>
      <c r="B218" s="3">
        <v>20</v>
      </c>
      <c r="C218" s="3"/>
      <c r="D218" s="4">
        <v>19</v>
      </c>
      <c r="E218" s="12">
        <f>B218-D218</f>
        <v>1</v>
      </c>
      <c r="F218" s="21">
        <f t="shared" si="10"/>
        <v>0.95</v>
      </c>
      <c r="G218" s="30"/>
    </row>
    <row r="219" spans="1:7" x14ac:dyDescent="0.35">
      <c r="A219" s="1" t="s">
        <v>215</v>
      </c>
      <c r="B219" s="3">
        <v>19</v>
      </c>
      <c r="C219" s="3"/>
      <c r="D219" s="4">
        <v>18</v>
      </c>
      <c r="E219" s="12">
        <f>B219-D219</f>
        <v>1</v>
      </c>
      <c r="F219" s="21">
        <f t="shared" si="10"/>
        <v>0.94736842105263153</v>
      </c>
      <c r="G219" s="30"/>
    </row>
    <row r="220" spans="1:7" hidden="1" x14ac:dyDescent="0.35">
      <c r="A220" s="13" t="s">
        <v>42</v>
      </c>
      <c r="B220" s="6">
        <f>SUM(B215:B219)</f>
        <v>102</v>
      </c>
      <c r="C220" s="6"/>
      <c r="D220" s="6">
        <f>SUM(D215:D219)</f>
        <v>99</v>
      </c>
      <c r="E220" s="6">
        <f>SUM(E215:E219)</f>
        <v>3</v>
      </c>
      <c r="F220" s="25">
        <f t="shared" si="10"/>
        <v>0.97058823529411764</v>
      </c>
      <c r="G220" s="30"/>
    </row>
    <row r="221" spans="1:7" x14ac:dyDescent="0.35">
      <c r="A221" s="1" t="s">
        <v>216</v>
      </c>
      <c r="B221" s="3">
        <v>9</v>
      </c>
      <c r="C221" s="3"/>
      <c r="D221" s="4">
        <v>8</v>
      </c>
      <c r="E221" s="12">
        <f t="shared" ref="E221:E228" si="12">B221-D221</f>
        <v>1</v>
      </c>
      <c r="F221" s="21">
        <v>0.9</v>
      </c>
      <c r="G221" s="30"/>
    </row>
    <row r="222" spans="1:7" x14ac:dyDescent="0.35">
      <c r="A222" s="1" t="s">
        <v>217</v>
      </c>
      <c r="B222" s="3" t="s">
        <v>218</v>
      </c>
      <c r="C222" s="3">
        <v>15</v>
      </c>
      <c r="D222" s="4">
        <v>15</v>
      </c>
      <c r="E222" s="12">
        <f>C222-D222</f>
        <v>0</v>
      </c>
      <c r="F222" s="21">
        <f>D222/C222</f>
        <v>1</v>
      </c>
      <c r="G222" s="30"/>
    </row>
    <row r="223" spans="1:7" x14ac:dyDescent="0.35">
      <c r="A223" s="1" t="s">
        <v>219</v>
      </c>
      <c r="B223" s="3">
        <v>24</v>
      </c>
      <c r="C223" s="3"/>
      <c r="D223" s="4">
        <v>22</v>
      </c>
      <c r="E223" s="12">
        <f t="shared" si="12"/>
        <v>2</v>
      </c>
      <c r="F223" s="21">
        <f t="shared" si="10"/>
        <v>0.91666666666666663</v>
      </c>
      <c r="G223" s="30"/>
    </row>
    <row r="224" spans="1:7" x14ac:dyDescent="0.35">
      <c r="A224" s="1" t="s">
        <v>220</v>
      </c>
      <c r="B224" s="3">
        <v>15</v>
      </c>
      <c r="C224" s="3"/>
      <c r="D224" s="4">
        <v>14</v>
      </c>
      <c r="E224" s="12">
        <f t="shared" si="12"/>
        <v>1</v>
      </c>
      <c r="F224" s="21">
        <f t="shared" si="10"/>
        <v>0.93333333333333335</v>
      </c>
      <c r="G224" s="30"/>
    </row>
    <row r="225" spans="1:7" hidden="1" x14ac:dyDescent="0.35">
      <c r="A225" s="13" t="s">
        <v>42</v>
      </c>
      <c r="B225" s="6">
        <f>9+15+24+15</f>
        <v>63</v>
      </c>
      <c r="C225" s="6"/>
      <c r="D225" s="6">
        <f>SUM(D221:D224)</f>
        <v>59</v>
      </c>
      <c r="E225" s="6">
        <f>SUM(E221:E224)</f>
        <v>4</v>
      </c>
      <c r="F225" s="25">
        <f t="shared" si="10"/>
        <v>0.93650793650793651</v>
      </c>
      <c r="G225" s="30"/>
    </row>
    <row r="226" spans="1:7" x14ac:dyDescent="0.35">
      <c r="A226" s="1" t="s">
        <v>221</v>
      </c>
      <c r="B226" s="3">
        <v>39</v>
      </c>
      <c r="C226" s="3"/>
      <c r="D226" s="4">
        <v>37</v>
      </c>
      <c r="E226" s="12">
        <f t="shared" si="12"/>
        <v>2</v>
      </c>
      <c r="F226" s="21">
        <f t="shared" si="10"/>
        <v>0.94871794871794868</v>
      </c>
      <c r="G226" s="30"/>
    </row>
    <row r="227" spans="1:7" x14ac:dyDescent="0.35">
      <c r="A227" s="1" t="s">
        <v>222</v>
      </c>
      <c r="B227" s="3">
        <v>11</v>
      </c>
      <c r="C227" s="3"/>
      <c r="D227" s="4">
        <v>11</v>
      </c>
      <c r="E227" s="12">
        <f t="shared" si="12"/>
        <v>0</v>
      </c>
      <c r="F227" s="21">
        <f t="shared" si="10"/>
        <v>1</v>
      </c>
      <c r="G227" s="30"/>
    </row>
    <row r="228" spans="1:7" x14ac:dyDescent="0.35">
      <c r="A228" s="1" t="s">
        <v>223</v>
      </c>
      <c r="B228" s="3">
        <v>34</v>
      </c>
      <c r="C228" s="3"/>
      <c r="D228" s="4">
        <v>31</v>
      </c>
      <c r="E228" s="12">
        <f t="shared" si="12"/>
        <v>3</v>
      </c>
      <c r="F228" s="21">
        <f t="shared" si="10"/>
        <v>0.91176470588235292</v>
      </c>
      <c r="G228" s="30"/>
    </row>
    <row r="229" spans="1:7" hidden="1" x14ac:dyDescent="0.35">
      <c r="A229" s="13" t="s">
        <v>42</v>
      </c>
      <c r="B229" s="6">
        <f>SUM(B226:B228)</f>
        <v>84</v>
      </c>
      <c r="C229" s="6"/>
      <c r="D229" s="6">
        <f>SUM(D226:D228)</f>
        <v>79</v>
      </c>
      <c r="E229" s="6">
        <f>SUM(E226:E228)</f>
        <v>5</v>
      </c>
      <c r="F229" s="25">
        <f t="shared" si="10"/>
        <v>0.94047619047619047</v>
      </c>
      <c r="G229" s="30"/>
    </row>
    <row r="230" spans="1:7" x14ac:dyDescent="0.35">
      <c r="A230" s="13" t="s">
        <v>207</v>
      </c>
      <c r="B230" s="6">
        <f>SUM(B214,B220,B225,B229)</f>
        <v>403</v>
      </c>
      <c r="C230" s="6"/>
      <c r="D230" s="6">
        <f>SUM(D214,D220,D225,D229)</f>
        <v>382</v>
      </c>
      <c r="E230" s="6">
        <f>B230-D230</f>
        <v>21</v>
      </c>
      <c r="F230" s="25">
        <f t="shared" si="10"/>
        <v>0.94789081885856075</v>
      </c>
      <c r="G230" s="30"/>
    </row>
    <row r="231" spans="1:7" x14ac:dyDescent="0.35">
      <c r="A231" s="1" t="s">
        <v>225</v>
      </c>
      <c r="B231" s="3">
        <v>17</v>
      </c>
      <c r="C231" s="3"/>
      <c r="D231" s="4">
        <v>2</v>
      </c>
      <c r="E231" s="12">
        <f>B231-D231</f>
        <v>15</v>
      </c>
      <c r="F231" s="21">
        <f t="shared" si="10"/>
        <v>0.11764705882352941</v>
      </c>
      <c r="G231" s="30"/>
    </row>
    <row r="232" spans="1:7" x14ac:dyDescent="0.35">
      <c r="A232" s="1" t="s">
        <v>226</v>
      </c>
      <c r="B232" s="3">
        <v>10</v>
      </c>
      <c r="C232" s="3"/>
      <c r="D232" s="4">
        <v>4</v>
      </c>
      <c r="E232" s="12">
        <f>B232-D232</f>
        <v>6</v>
      </c>
      <c r="F232" s="21">
        <f t="shared" si="10"/>
        <v>0.4</v>
      </c>
      <c r="G232" s="30"/>
    </row>
    <row r="233" spans="1:7" x14ac:dyDescent="0.35">
      <c r="A233" s="1" t="s">
        <v>227</v>
      </c>
      <c r="B233" s="3" t="s">
        <v>228</v>
      </c>
      <c r="C233" s="3">
        <v>13</v>
      </c>
      <c r="D233" s="4">
        <v>11</v>
      </c>
      <c r="E233" s="12">
        <f>C233-D233</f>
        <v>2</v>
      </c>
      <c r="F233" s="21">
        <f>90%</f>
        <v>0.9</v>
      </c>
      <c r="G233" s="30"/>
    </row>
    <row r="234" spans="1:7" hidden="1" x14ac:dyDescent="0.35">
      <c r="A234" s="13" t="s">
        <v>42</v>
      </c>
      <c r="B234" s="6">
        <f>17+10+13</f>
        <v>40</v>
      </c>
      <c r="C234" s="6"/>
      <c r="D234" s="6">
        <f>SUM(D231:D233)</f>
        <v>17</v>
      </c>
      <c r="E234" s="6">
        <f>SUM(E231:E233)</f>
        <v>23</v>
      </c>
      <c r="F234" s="25">
        <f t="shared" si="10"/>
        <v>0.42499999999999999</v>
      </c>
      <c r="G234" s="30"/>
    </row>
    <row r="235" spans="1:7" x14ac:dyDescent="0.35">
      <c r="A235" s="1" t="s">
        <v>229</v>
      </c>
      <c r="B235" s="3" t="s">
        <v>274</v>
      </c>
      <c r="C235" s="3">
        <v>19</v>
      </c>
      <c r="D235" s="4">
        <v>15</v>
      </c>
      <c r="E235" s="12">
        <f>C235-D235</f>
        <v>4</v>
      </c>
      <c r="F235" s="21">
        <v>0.9</v>
      </c>
      <c r="G235" s="30"/>
    </row>
    <row r="236" spans="1:7" x14ac:dyDescent="0.35">
      <c r="A236" s="1" t="s">
        <v>230</v>
      </c>
      <c r="B236" s="3" t="s">
        <v>231</v>
      </c>
      <c r="C236" s="3">
        <v>12</v>
      </c>
      <c r="D236" s="4">
        <v>9</v>
      </c>
      <c r="E236" s="12">
        <f>C236-D236</f>
        <v>3</v>
      </c>
      <c r="F236" s="21">
        <v>0.9</v>
      </c>
      <c r="G236" s="30"/>
    </row>
    <row r="237" spans="1:7" x14ac:dyDescent="0.35">
      <c r="A237" s="1" t="s">
        <v>283</v>
      </c>
      <c r="B237" s="3">
        <v>7</v>
      </c>
      <c r="C237" s="3"/>
      <c r="D237" s="4">
        <v>5</v>
      </c>
      <c r="E237" s="12">
        <f>B237-D237</f>
        <v>2</v>
      </c>
      <c r="F237" s="21">
        <v>0.9</v>
      </c>
      <c r="G237" s="30"/>
    </row>
    <row r="238" spans="1:7" x14ac:dyDescent="0.35">
      <c r="A238" s="1" t="s">
        <v>232</v>
      </c>
      <c r="B238" s="3" t="s">
        <v>228</v>
      </c>
      <c r="C238" s="3">
        <v>13</v>
      </c>
      <c r="D238" s="4">
        <v>10</v>
      </c>
      <c r="E238" s="12">
        <f>C238-D238</f>
        <v>3</v>
      </c>
      <c r="F238" s="21">
        <v>0.9</v>
      </c>
      <c r="G238" s="30"/>
    </row>
    <row r="239" spans="1:7" hidden="1" x14ac:dyDescent="0.35">
      <c r="A239" s="13" t="s">
        <v>42</v>
      </c>
      <c r="B239" s="6">
        <f>19+12+13+7</f>
        <v>51</v>
      </c>
      <c r="C239" s="6"/>
      <c r="D239" s="6">
        <f>SUM(D235:D238)</f>
        <v>39</v>
      </c>
      <c r="E239" s="6">
        <f>SUM(E235:E238)</f>
        <v>12</v>
      </c>
      <c r="F239" s="25">
        <f t="shared" si="10"/>
        <v>0.76470588235294112</v>
      </c>
      <c r="G239" s="30"/>
    </row>
    <row r="240" spans="1:7" x14ac:dyDescent="0.35">
      <c r="A240" s="1" t="s">
        <v>233</v>
      </c>
      <c r="B240" s="3">
        <v>33</v>
      </c>
      <c r="C240" s="3"/>
      <c r="D240" s="4">
        <v>26</v>
      </c>
      <c r="E240" s="12">
        <f t="shared" ref="E240:E246" si="13">B240-D240</f>
        <v>7</v>
      </c>
      <c r="F240" s="21">
        <v>0.9</v>
      </c>
      <c r="G240" s="30"/>
    </row>
    <row r="241" spans="1:7" x14ac:dyDescent="0.35">
      <c r="A241" s="1" t="s">
        <v>234</v>
      </c>
      <c r="B241" s="3">
        <v>8</v>
      </c>
      <c r="C241" s="3"/>
      <c r="D241" s="4">
        <v>7</v>
      </c>
      <c r="E241" s="12">
        <f t="shared" si="13"/>
        <v>1</v>
      </c>
      <c r="F241" s="21">
        <v>0.9</v>
      </c>
      <c r="G241" s="30"/>
    </row>
    <row r="242" spans="1:7" x14ac:dyDescent="0.35">
      <c r="A242" s="1" t="s">
        <v>235</v>
      </c>
      <c r="B242" s="3" t="s">
        <v>236</v>
      </c>
      <c r="C242" s="3">
        <v>16</v>
      </c>
      <c r="D242" s="4">
        <v>15</v>
      </c>
      <c r="E242" s="12">
        <f>C242-D242</f>
        <v>1</v>
      </c>
      <c r="F242" s="21">
        <f>D242/C242</f>
        <v>0.9375</v>
      </c>
      <c r="G242" s="30"/>
    </row>
    <row r="243" spans="1:7" hidden="1" x14ac:dyDescent="0.35">
      <c r="A243" s="13" t="s">
        <v>42</v>
      </c>
      <c r="B243" s="6">
        <f>33+8+16</f>
        <v>57</v>
      </c>
      <c r="C243" s="6"/>
      <c r="D243" s="6">
        <f>SUM(D240:D242)</f>
        <v>48</v>
      </c>
      <c r="E243" s="6">
        <f>SUM(E240:E242)</f>
        <v>9</v>
      </c>
      <c r="F243" s="25">
        <f t="shared" si="10"/>
        <v>0.84210526315789469</v>
      </c>
      <c r="G243" s="30"/>
    </row>
    <row r="244" spans="1:7" x14ac:dyDescent="0.35">
      <c r="A244" s="1" t="s">
        <v>237</v>
      </c>
      <c r="B244" s="3">
        <v>15</v>
      </c>
      <c r="C244" s="3"/>
      <c r="D244" s="4">
        <v>15</v>
      </c>
      <c r="E244" s="12">
        <f t="shared" si="13"/>
        <v>0</v>
      </c>
      <c r="F244" s="21">
        <f t="shared" si="10"/>
        <v>1</v>
      </c>
      <c r="G244" s="30"/>
    </row>
    <row r="245" spans="1:7" x14ac:dyDescent="0.35">
      <c r="A245" s="1" t="s">
        <v>14</v>
      </c>
      <c r="B245" s="3">
        <v>15</v>
      </c>
      <c r="C245" s="3"/>
      <c r="D245" s="4">
        <v>14</v>
      </c>
      <c r="E245" s="12">
        <f t="shared" si="13"/>
        <v>1</v>
      </c>
      <c r="F245" s="21">
        <f t="shared" si="10"/>
        <v>0.93333333333333335</v>
      </c>
      <c r="G245" s="30"/>
    </row>
    <row r="246" spans="1:7" x14ac:dyDescent="0.35">
      <c r="A246" s="1" t="s">
        <v>238</v>
      </c>
      <c r="B246" s="3">
        <v>8</v>
      </c>
      <c r="C246" s="3"/>
      <c r="D246" s="4">
        <v>7</v>
      </c>
      <c r="E246" s="12">
        <f t="shared" si="13"/>
        <v>1</v>
      </c>
      <c r="F246" s="21">
        <v>0.9</v>
      </c>
      <c r="G246" s="30"/>
    </row>
    <row r="247" spans="1:7" hidden="1" x14ac:dyDescent="0.35">
      <c r="A247" s="13" t="s">
        <v>42</v>
      </c>
      <c r="B247" s="6">
        <f>SUM(B244:B246)</f>
        <v>38</v>
      </c>
      <c r="C247" s="6"/>
      <c r="D247" s="6">
        <f>SUM(D244:D246)</f>
        <v>36</v>
      </c>
      <c r="E247" s="6">
        <f>B247-D247</f>
        <v>2</v>
      </c>
      <c r="F247" s="25">
        <f t="shared" si="10"/>
        <v>0.94736842105263153</v>
      </c>
      <c r="G247" s="30"/>
    </row>
    <row r="248" spans="1:7" x14ac:dyDescent="0.35">
      <c r="A248" s="1" t="s">
        <v>239</v>
      </c>
      <c r="B248" s="3" t="s">
        <v>240</v>
      </c>
      <c r="C248" s="3">
        <v>19</v>
      </c>
      <c r="D248" s="4">
        <v>1</v>
      </c>
      <c r="E248" s="12">
        <f>C248-D248</f>
        <v>18</v>
      </c>
      <c r="F248" s="21">
        <f>D248/C248</f>
        <v>5.2631578947368418E-2</v>
      </c>
      <c r="G248" s="30"/>
    </row>
    <row r="249" spans="1:7" x14ac:dyDescent="0.35">
      <c r="A249" s="1" t="s">
        <v>241</v>
      </c>
      <c r="B249" s="3" t="s">
        <v>231</v>
      </c>
      <c r="C249" s="3">
        <v>12</v>
      </c>
      <c r="D249" s="4">
        <v>1</v>
      </c>
      <c r="E249" s="12">
        <f>C249-D249</f>
        <v>11</v>
      </c>
      <c r="F249" s="21">
        <f>D249/C249</f>
        <v>8.3333333333333329E-2</v>
      </c>
      <c r="G249" s="30"/>
    </row>
    <row r="250" spans="1:7" x14ac:dyDescent="0.35">
      <c r="A250" s="1" t="s">
        <v>242</v>
      </c>
      <c r="B250" s="3" t="s">
        <v>243</v>
      </c>
      <c r="C250" s="3">
        <v>15</v>
      </c>
      <c r="D250" s="4">
        <v>1</v>
      </c>
      <c r="E250" s="12">
        <f>C250-D250</f>
        <v>14</v>
      </c>
      <c r="F250" s="21">
        <f>D250/C250</f>
        <v>6.6666666666666666E-2</v>
      </c>
      <c r="G250" s="30"/>
    </row>
    <row r="251" spans="1:7" hidden="1" x14ac:dyDescent="0.35">
      <c r="A251" s="13" t="s">
        <v>42</v>
      </c>
      <c r="B251" s="6">
        <f>19+12+15</f>
        <v>46</v>
      </c>
      <c r="C251" s="6"/>
      <c r="D251" s="6">
        <f>SUM(D248:D250)</f>
        <v>3</v>
      </c>
      <c r="E251" s="6">
        <f>SUM(E248:E250)</f>
        <v>43</v>
      </c>
      <c r="F251" s="25">
        <f t="shared" si="10"/>
        <v>6.5217391304347824E-2</v>
      </c>
      <c r="G251" s="30"/>
    </row>
    <row r="252" spans="1:7" x14ac:dyDescent="0.35">
      <c r="A252" s="13" t="s">
        <v>224</v>
      </c>
      <c r="B252" s="6">
        <f>SUM(B234,B239,B243,B247,B251)</f>
        <v>232</v>
      </c>
      <c r="C252" s="6"/>
      <c r="D252" s="6">
        <f>SUM(D234,D239,D243,D247,D251)</f>
        <v>143</v>
      </c>
      <c r="E252" s="6">
        <f>B252-D252</f>
        <v>89</v>
      </c>
      <c r="F252" s="25">
        <f t="shared" si="10"/>
        <v>0.61637931034482762</v>
      </c>
      <c r="G252" s="30"/>
    </row>
    <row r="253" spans="1:7" x14ac:dyDescent="0.35">
      <c r="A253" s="1" t="s">
        <v>245</v>
      </c>
      <c r="B253" s="3">
        <v>14</v>
      </c>
      <c r="C253" s="3"/>
      <c r="D253" s="4">
        <v>13</v>
      </c>
      <c r="E253" s="12">
        <f t="shared" ref="E253:E266" si="14">B253-D253</f>
        <v>1</v>
      </c>
      <c r="F253" s="21">
        <f t="shared" si="10"/>
        <v>0.9285714285714286</v>
      </c>
      <c r="G253" s="30"/>
    </row>
    <row r="254" spans="1:7" x14ac:dyDescent="0.35">
      <c r="A254" s="1" t="s">
        <v>246</v>
      </c>
      <c r="B254" s="3">
        <v>12</v>
      </c>
      <c r="C254" s="3"/>
      <c r="D254" s="4">
        <v>11</v>
      </c>
      <c r="E254" s="12">
        <f t="shared" si="14"/>
        <v>1</v>
      </c>
      <c r="F254" s="21">
        <f t="shared" si="10"/>
        <v>0.91666666666666663</v>
      </c>
      <c r="G254" s="30"/>
    </row>
    <row r="255" spans="1:7" x14ac:dyDescent="0.35">
      <c r="A255" s="1" t="s">
        <v>247</v>
      </c>
      <c r="B255" s="3">
        <v>10</v>
      </c>
      <c r="C255" s="3"/>
      <c r="D255" s="4">
        <v>9</v>
      </c>
      <c r="E255" s="12">
        <f t="shared" si="14"/>
        <v>1</v>
      </c>
      <c r="F255" s="21">
        <f t="shared" si="10"/>
        <v>0.9</v>
      </c>
      <c r="G255" s="30"/>
    </row>
    <row r="256" spans="1:7" x14ac:dyDescent="0.35">
      <c r="A256" s="1" t="s">
        <v>248</v>
      </c>
      <c r="B256" s="3">
        <v>12</v>
      </c>
      <c r="C256" s="3"/>
      <c r="D256" s="4">
        <v>12</v>
      </c>
      <c r="E256" s="12">
        <f t="shared" si="14"/>
        <v>0</v>
      </c>
      <c r="F256" s="21">
        <f t="shared" si="10"/>
        <v>1</v>
      </c>
      <c r="G256" s="30"/>
    </row>
    <row r="257" spans="1:7" x14ac:dyDescent="0.35">
      <c r="A257" s="1" t="s">
        <v>285</v>
      </c>
      <c r="B257" s="3" t="s">
        <v>286</v>
      </c>
      <c r="C257" s="3">
        <v>21</v>
      </c>
      <c r="D257" s="4">
        <v>17</v>
      </c>
      <c r="E257" s="12">
        <f>C257-D257</f>
        <v>4</v>
      </c>
      <c r="F257" s="21">
        <v>0.9</v>
      </c>
      <c r="G257" s="30"/>
    </row>
    <row r="258" spans="1:7" x14ac:dyDescent="0.35">
      <c r="A258" s="1" t="s">
        <v>249</v>
      </c>
      <c r="B258" s="3">
        <v>12</v>
      </c>
      <c r="C258" s="3"/>
      <c r="D258" s="4">
        <v>12</v>
      </c>
      <c r="E258" s="12">
        <f t="shared" si="14"/>
        <v>0</v>
      </c>
      <c r="F258" s="21">
        <f t="shared" si="10"/>
        <v>1</v>
      </c>
      <c r="G258" s="30"/>
    </row>
    <row r="259" spans="1:7" x14ac:dyDescent="0.35">
      <c r="A259" s="1" t="s">
        <v>250</v>
      </c>
      <c r="B259" s="3">
        <v>15</v>
      </c>
      <c r="C259" s="3"/>
      <c r="D259" s="4">
        <v>14</v>
      </c>
      <c r="E259" s="12">
        <f t="shared" si="14"/>
        <v>1</v>
      </c>
      <c r="F259" s="21">
        <f t="shared" ref="F259:F287" si="15">D259/B259</f>
        <v>0.93333333333333335</v>
      </c>
      <c r="G259" s="30"/>
    </row>
    <row r="260" spans="1:7" x14ac:dyDescent="0.35">
      <c r="A260" s="1" t="s">
        <v>251</v>
      </c>
      <c r="B260" s="3">
        <v>10</v>
      </c>
      <c r="C260" s="3"/>
      <c r="D260" s="4">
        <v>10</v>
      </c>
      <c r="E260" s="12">
        <f t="shared" si="14"/>
        <v>0</v>
      </c>
      <c r="F260" s="21">
        <f t="shared" si="15"/>
        <v>1</v>
      </c>
      <c r="G260" s="30"/>
    </row>
    <row r="261" spans="1:7" x14ac:dyDescent="0.35">
      <c r="A261" s="1" t="s">
        <v>252</v>
      </c>
      <c r="B261" s="3">
        <v>10</v>
      </c>
      <c r="C261" s="3"/>
      <c r="D261" s="4">
        <v>10</v>
      </c>
      <c r="E261" s="12">
        <f t="shared" si="14"/>
        <v>0</v>
      </c>
      <c r="F261" s="21">
        <f t="shared" si="15"/>
        <v>1</v>
      </c>
      <c r="G261" s="30"/>
    </row>
    <row r="262" spans="1:7" hidden="1" x14ac:dyDescent="0.35">
      <c r="A262" s="13" t="s">
        <v>42</v>
      </c>
      <c r="B262" s="6">
        <f>SUM(B253:B256,B258:B261)+21</f>
        <v>116</v>
      </c>
      <c r="C262" s="6"/>
      <c r="D262" s="6">
        <f>SUM(D253:D261)</f>
        <v>108</v>
      </c>
      <c r="E262" s="6">
        <f>SUM(E253:E261)</f>
        <v>8</v>
      </c>
      <c r="F262" s="25">
        <f t="shared" si="15"/>
        <v>0.93103448275862066</v>
      </c>
      <c r="G262" s="30"/>
    </row>
    <row r="263" spans="1:7" x14ac:dyDescent="0.35">
      <c r="A263" s="1" t="s">
        <v>253</v>
      </c>
      <c r="B263" s="3" t="s">
        <v>228</v>
      </c>
      <c r="C263" s="3">
        <v>13</v>
      </c>
      <c r="D263" s="4">
        <v>6</v>
      </c>
      <c r="E263" s="12">
        <f>C263-D263</f>
        <v>7</v>
      </c>
      <c r="F263" s="21">
        <f>D263/C263</f>
        <v>0.46153846153846156</v>
      </c>
      <c r="G263" s="30"/>
    </row>
    <row r="264" spans="1:7" x14ac:dyDescent="0.35">
      <c r="A264" s="1" t="s">
        <v>254</v>
      </c>
      <c r="B264" s="3">
        <v>14</v>
      </c>
      <c r="C264" s="3"/>
      <c r="D264" s="4">
        <v>10</v>
      </c>
      <c r="E264" s="12">
        <f t="shared" si="14"/>
        <v>4</v>
      </c>
      <c r="F264" s="21">
        <v>0.9</v>
      </c>
      <c r="G264" s="30"/>
    </row>
    <row r="265" spans="1:7" x14ac:dyDescent="0.35">
      <c r="A265" s="1" t="s">
        <v>255</v>
      </c>
      <c r="B265" s="3">
        <v>8</v>
      </c>
      <c r="C265" s="3"/>
      <c r="D265" s="4">
        <v>8</v>
      </c>
      <c r="E265" s="12">
        <f t="shared" si="14"/>
        <v>0</v>
      </c>
      <c r="F265" s="21">
        <f t="shared" si="15"/>
        <v>1</v>
      </c>
      <c r="G265" s="30"/>
    </row>
    <row r="266" spans="1:7" x14ac:dyDescent="0.35">
      <c r="A266" s="1" t="s">
        <v>256</v>
      </c>
      <c r="B266" s="3">
        <v>12</v>
      </c>
      <c r="C266" s="3"/>
      <c r="D266" s="4">
        <v>9</v>
      </c>
      <c r="E266" s="12">
        <f t="shared" si="14"/>
        <v>3</v>
      </c>
      <c r="F266" s="21">
        <f t="shared" si="15"/>
        <v>0.75</v>
      </c>
      <c r="G266" s="30"/>
    </row>
    <row r="267" spans="1:7" hidden="1" x14ac:dyDescent="0.35">
      <c r="A267" s="13" t="s">
        <v>42</v>
      </c>
      <c r="B267" s="6">
        <f>SUM(B264:B266)+13</f>
        <v>47</v>
      </c>
      <c r="C267" s="6"/>
      <c r="D267" s="6">
        <f>SUM(D263:D266)</f>
        <v>33</v>
      </c>
      <c r="E267" s="6">
        <f>SUM(E263:E266)</f>
        <v>14</v>
      </c>
      <c r="F267" s="25">
        <f t="shared" si="15"/>
        <v>0.7021276595744681</v>
      </c>
      <c r="G267" s="30"/>
    </row>
    <row r="268" spans="1:7" x14ac:dyDescent="0.35">
      <c r="A268" s="1" t="s">
        <v>257</v>
      </c>
      <c r="B268" s="3" t="s">
        <v>231</v>
      </c>
      <c r="C268" s="3">
        <v>12</v>
      </c>
      <c r="D268" s="4">
        <v>3</v>
      </c>
      <c r="E268" s="12">
        <f>C268-D268</f>
        <v>9</v>
      </c>
      <c r="F268" s="21">
        <f>D268/C268</f>
        <v>0.25</v>
      </c>
      <c r="G268" s="30"/>
    </row>
    <row r="269" spans="1:7" x14ac:dyDescent="0.35">
      <c r="A269" s="1" t="s">
        <v>258</v>
      </c>
      <c r="B269" s="3">
        <v>14</v>
      </c>
      <c r="C269" s="3"/>
      <c r="D269" s="4">
        <v>5</v>
      </c>
      <c r="E269" s="12">
        <f t="shared" ref="E269:E283" si="16">B269-D269</f>
        <v>9</v>
      </c>
      <c r="F269" s="21">
        <f t="shared" si="15"/>
        <v>0.35714285714285715</v>
      </c>
      <c r="G269" s="30"/>
    </row>
    <row r="270" spans="1:7" x14ac:dyDescent="0.35">
      <c r="A270" s="1" t="s">
        <v>259</v>
      </c>
      <c r="B270" s="3">
        <v>14</v>
      </c>
      <c r="C270" s="3"/>
      <c r="D270" s="4">
        <v>12</v>
      </c>
      <c r="E270" s="12">
        <f t="shared" si="16"/>
        <v>2</v>
      </c>
      <c r="F270" s="21">
        <f t="shared" si="15"/>
        <v>0.8571428571428571</v>
      </c>
      <c r="G270" s="30"/>
    </row>
    <row r="271" spans="1:7" hidden="1" x14ac:dyDescent="0.35">
      <c r="A271" s="13" t="s">
        <v>42</v>
      </c>
      <c r="B271" s="6">
        <f>28+12</f>
        <v>40</v>
      </c>
      <c r="C271" s="6"/>
      <c r="D271" s="6">
        <f>SUM(D268:D270)</f>
        <v>20</v>
      </c>
      <c r="E271" s="6">
        <f>SUM(E268:E270)</f>
        <v>20</v>
      </c>
      <c r="F271" s="25">
        <f t="shared" si="15"/>
        <v>0.5</v>
      </c>
      <c r="G271" s="30"/>
    </row>
    <row r="272" spans="1:7" x14ac:dyDescent="0.35">
      <c r="A272" s="1" t="s">
        <v>260</v>
      </c>
      <c r="B272" s="3">
        <v>21</v>
      </c>
      <c r="C272" s="3"/>
      <c r="D272" s="4">
        <v>17</v>
      </c>
      <c r="E272" s="12">
        <f t="shared" si="16"/>
        <v>4</v>
      </c>
      <c r="F272" s="21">
        <v>0.9</v>
      </c>
      <c r="G272" s="30"/>
    </row>
    <row r="273" spans="1:7" x14ac:dyDescent="0.35">
      <c r="A273" s="1" t="s">
        <v>261</v>
      </c>
      <c r="B273" s="3">
        <v>33</v>
      </c>
      <c r="C273" s="3"/>
      <c r="D273" s="4">
        <v>30</v>
      </c>
      <c r="E273" s="12">
        <f t="shared" si="16"/>
        <v>3</v>
      </c>
      <c r="F273" s="21">
        <f t="shared" si="15"/>
        <v>0.90909090909090906</v>
      </c>
      <c r="G273" s="30"/>
    </row>
    <row r="274" spans="1:7" x14ac:dyDescent="0.35">
      <c r="A274" s="1" t="s">
        <v>262</v>
      </c>
      <c r="B274" s="3">
        <v>23</v>
      </c>
      <c r="C274" s="3"/>
      <c r="D274" s="4">
        <v>22</v>
      </c>
      <c r="E274" s="12">
        <f t="shared" si="16"/>
        <v>1</v>
      </c>
      <c r="F274" s="21">
        <f t="shared" si="15"/>
        <v>0.95652173913043481</v>
      </c>
      <c r="G274" s="30"/>
    </row>
    <row r="275" spans="1:7" x14ac:dyDescent="0.35">
      <c r="A275" s="1" t="s">
        <v>263</v>
      </c>
      <c r="B275" s="3" t="s">
        <v>264</v>
      </c>
      <c r="C275" s="3">
        <v>16</v>
      </c>
      <c r="D275" s="4">
        <v>3</v>
      </c>
      <c r="E275" s="12">
        <f>C275-D275</f>
        <v>13</v>
      </c>
      <c r="F275" s="21">
        <f>D275/C275</f>
        <v>0.1875</v>
      </c>
      <c r="G275" s="30"/>
    </row>
    <row r="276" spans="1:7" x14ac:dyDescent="0.35">
      <c r="A276" s="1" t="s">
        <v>265</v>
      </c>
      <c r="B276" s="3">
        <v>12</v>
      </c>
      <c r="C276" s="3"/>
      <c r="D276" s="4">
        <v>11</v>
      </c>
      <c r="E276" s="12">
        <f t="shared" si="16"/>
        <v>1</v>
      </c>
      <c r="F276" s="21">
        <f t="shared" si="15"/>
        <v>0.91666666666666663</v>
      </c>
      <c r="G276" s="30"/>
    </row>
    <row r="277" spans="1:7" hidden="1" x14ac:dyDescent="0.35">
      <c r="A277" s="13" t="s">
        <v>42</v>
      </c>
      <c r="B277" s="6">
        <f>SUM(B272:B274)+16+12</f>
        <v>105</v>
      </c>
      <c r="C277" s="6"/>
      <c r="D277" s="6">
        <f>SUM(D272:D276)</f>
        <v>83</v>
      </c>
      <c r="E277" s="6">
        <f>B277-D277</f>
        <v>22</v>
      </c>
      <c r="F277" s="25">
        <f t="shared" si="15"/>
        <v>0.79047619047619044</v>
      </c>
      <c r="G277" s="30"/>
    </row>
    <row r="278" spans="1:7" x14ac:dyDescent="0.35">
      <c r="A278" s="33" t="s">
        <v>284</v>
      </c>
      <c r="B278" s="15">
        <v>7</v>
      </c>
      <c r="C278" s="15"/>
      <c r="D278" s="15">
        <v>3</v>
      </c>
      <c r="E278" s="12">
        <f>B278-D278</f>
        <v>4</v>
      </c>
      <c r="F278" s="21">
        <f>D278/B278</f>
        <v>0.42857142857142855</v>
      </c>
      <c r="G278" s="30"/>
    </row>
    <row r="279" spans="1:7" x14ac:dyDescent="0.35">
      <c r="A279" s="1" t="s">
        <v>266</v>
      </c>
      <c r="B279" s="3">
        <v>28</v>
      </c>
      <c r="C279" s="3"/>
      <c r="D279" s="4">
        <v>26</v>
      </c>
      <c r="E279" s="12">
        <f>B279-D279</f>
        <v>2</v>
      </c>
      <c r="F279" s="21">
        <f t="shared" si="15"/>
        <v>0.9285714285714286</v>
      </c>
      <c r="G279" s="30"/>
    </row>
    <row r="280" spans="1:7" x14ac:dyDescent="0.35">
      <c r="A280" s="1" t="s">
        <v>267</v>
      </c>
      <c r="B280" s="3">
        <v>9</v>
      </c>
      <c r="C280" s="3"/>
      <c r="D280" s="4">
        <v>1</v>
      </c>
      <c r="E280" s="12">
        <f t="shared" si="16"/>
        <v>8</v>
      </c>
      <c r="F280" s="21">
        <f t="shared" si="15"/>
        <v>0.1111111111111111</v>
      </c>
      <c r="G280" s="30"/>
    </row>
    <row r="281" spans="1:7" x14ac:dyDescent="0.35">
      <c r="A281" s="1" t="s">
        <v>268</v>
      </c>
      <c r="B281" s="3">
        <v>4</v>
      </c>
      <c r="C281" s="3"/>
      <c r="D281" s="4">
        <v>2</v>
      </c>
      <c r="E281" s="12">
        <f t="shared" si="16"/>
        <v>2</v>
      </c>
      <c r="F281" s="21">
        <f t="shared" si="15"/>
        <v>0.5</v>
      </c>
      <c r="G281" s="30"/>
    </row>
    <row r="282" spans="1:7" x14ac:dyDescent="0.35">
      <c r="A282" s="1" t="s">
        <v>269</v>
      </c>
      <c r="B282" s="3" t="s">
        <v>270</v>
      </c>
      <c r="C282" s="3">
        <v>18</v>
      </c>
      <c r="D282" s="4">
        <v>17</v>
      </c>
      <c r="E282" s="12">
        <f>C282-D282</f>
        <v>1</v>
      </c>
      <c r="F282" s="21">
        <f>D282/C282</f>
        <v>0.94444444444444442</v>
      </c>
      <c r="G282" s="30"/>
    </row>
    <row r="283" spans="1:7" x14ac:dyDescent="0.35">
      <c r="A283" s="1" t="s">
        <v>271</v>
      </c>
      <c r="B283" s="3">
        <v>15</v>
      </c>
      <c r="C283" s="3"/>
      <c r="D283" s="4">
        <v>5</v>
      </c>
      <c r="E283" s="12">
        <f t="shared" si="16"/>
        <v>10</v>
      </c>
      <c r="F283" s="21">
        <f t="shared" si="15"/>
        <v>0.33333333333333331</v>
      </c>
      <c r="G283" s="30"/>
    </row>
    <row r="284" spans="1:7" x14ac:dyDescent="0.35">
      <c r="A284" s="1" t="s">
        <v>280</v>
      </c>
      <c r="B284" s="3" t="s">
        <v>272</v>
      </c>
      <c r="C284" s="3">
        <v>17</v>
      </c>
      <c r="D284" s="4">
        <v>1</v>
      </c>
      <c r="E284" s="12">
        <f>C284-D284</f>
        <v>16</v>
      </c>
      <c r="F284" s="21">
        <f>D284/C284</f>
        <v>5.8823529411764705E-2</v>
      </c>
      <c r="G284" s="30"/>
    </row>
    <row r="285" spans="1:7" hidden="1" x14ac:dyDescent="0.35">
      <c r="A285" s="13" t="s">
        <v>42</v>
      </c>
      <c r="B285" s="6">
        <f>SUM(B278:B281)+18+15+17</f>
        <v>98</v>
      </c>
      <c r="C285" s="6"/>
      <c r="D285" s="6">
        <f>SUM(D279:D284)</f>
        <v>52</v>
      </c>
      <c r="E285" s="6">
        <f>B285-D285</f>
        <v>46</v>
      </c>
      <c r="F285" s="25">
        <f t="shared" si="15"/>
        <v>0.53061224489795922</v>
      </c>
      <c r="G285" s="30"/>
    </row>
    <row r="286" spans="1:7" x14ac:dyDescent="0.35">
      <c r="A286" s="13" t="s">
        <v>244</v>
      </c>
      <c r="B286" s="6">
        <f>SUM(B262,B267,B271,B277,B285)</f>
        <v>406</v>
      </c>
      <c r="C286" s="6"/>
      <c r="D286" s="6">
        <f>SUM(D262,D267,D271,D277,D285)</f>
        <v>296</v>
      </c>
      <c r="E286" s="6">
        <f>B286-D286</f>
        <v>110</v>
      </c>
      <c r="F286" s="25">
        <f>D286/B286</f>
        <v>0.72906403940886699</v>
      </c>
      <c r="G286" s="30"/>
    </row>
    <row r="287" spans="1:7" x14ac:dyDescent="0.35">
      <c r="A287" s="13" t="s">
        <v>42</v>
      </c>
      <c r="B287" s="6">
        <f>SUM(B48,B72,B101,B160,B188,B209,B230,B252,B286)</f>
        <v>4468</v>
      </c>
      <c r="C287" s="6">
        <f>SUM(C48,C72,C101,C160,C188,C209,C230,C252,C286)</f>
        <v>0</v>
      </c>
      <c r="D287" s="6">
        <f>SUM(D48,D72,D101,D160,D188,D209,D230,D252,D286)</f>
        <v>3889</v>
      </c>
      <c r="E287" s="6">
        <f>SUM(E48,E72,E101,E160,E188,E209,E230,E252,E286)</f>
        <v>579</v>
      </c>
      <c r="F287" s="25">
        <f t="shared" si="15"/>
        <v>0.87041181736794981</v>
      </c>
      <c r="G287" s="30"/>
    </row>
  </sheetData>
  <autoFilter ref="A1:F287" xr:uid="{AF9C4507-8274-4B10-8F73-BD8DC29FC53D}">
    <filterColumn colId="0">
      <filters>
        <filter val="Abaqulusi"/>
        <filter val="Alfred Duma"/>
        <filter val="Amahlathi / Great Kei"/>
        <filter val="Ba-Phalaborwa"/>
        <filter val="Beaufort West"/>
        <filter val="Bela-Bela"/>
        <filter val="Bergrivier / Cederberg"/>
        <filter val="Big 5 Hlabisa"/>
        <filter val="Blouberg"/>
        <filter val="Breede Valley"/>
        <filter val="BUF-Duncan Village"/>
        <filter val="BUF-East London"/>
        <filter val="BUF-King Williams Town"/>
        <filter val="BUF-Mdantsane"/>
        <filter val="Bushbuckridge"/>
        <filter val="Cape Agulhas / Swellendam"/>
        <filter val="Chief Albert Luthuli"/>
        <filter val="City of Mbombela"/>
        <filter val="Collins Chabane"/>
        <filter val="CPT - Zone 1"/>
        <filter val="CPT - Zone 10"/>
        <filter val="CPT - Zone 2"/>
        <filter val="CPT - Zone 3"/>
        <filter val="CPT - Zone 4"/>
        <filter val="CPT - Zone 5/9"/>
        <filter val="CPT - Zone 6"/>
        <filter val="CPT - Zone 7"/>
        <filter val="CPT - Zone 8"/>
        <filter val="Dannhauser"/>
        <filter val="Dawid Kruiper"/>
        <filter val="Dihlabeng"/>
        <filter val="Dikgatlong"/>
        <filter val="Ditsobotla"/>
        <filter val="Dr AB Xuma"/>
        <filter val="Dr JS Moroka"/>
        <filter val="Dr Pixley Ka Isaka Seme"/>
        <filter val="Dr. Beyers Naude / Blue Crane Route"/>
        <filter val="Dr. Nkosasana Dlamini Zuma / Impendle"/>
        <filter val="Drakenstein"/>
        <filter val="EASTERN CAPE"/>
        <filter val="EDumbe"/>
        <filter val="EKU – Central"/>
        <filter val="EKU – East"/>
        <filter val="EKU - Far East"/>
        <filter val="EKU – North"/>
        <filter val="EKU – South"/>
        <filter val="Elias Motsoaledi"/>
        <filter val="Elundini"/>
        <filter val="Emakhazeni"/>
        <filter val="Emalahleni"/>
        <filter val="Emfuleni"/>
        <filter val="Emthanjeni / Thembelihle / Renosterberg"/>
        <filter val="Enoch Mgijima"/>
        <filter val="Ephraim Mogale"/>
        <filter val="ETH – Central"/>
        <filter val="ETH - Far North"/>
        <filter val="ETH - Far South"/>
        <filter val="ETH - Inner West"/>
        <filter val="ETH - North Central"/>
        <filter val="ETH - North West"/>
        <filter val="ETH - Outer West"/>
        <filter val="ETH – South"/>
        <filter val="ETH - South Central / ETH - South West"/>
        <filter val="Fetakgomo Tubatse"/>
        <filter val="FREE STATE"/>
        <filter val="Gamagara"/>
        <filter val="Ga-Segonyana"/>
        <filter val="GAUTENG"/>
        <filter val="George"/>
        <filter val="Govan Mbeki"/>
        <filter val="Greater Giyani"/>
        <filter val="Greater Kokstad"/>
        <filter val="Greater Letaba"/>
        <filter val="Greater Taung"/>
        <filter val="Greater Tzaneen"/>
        <filter val="Hantam / !Kheis / Karoo Hoogland"/>
        <filter val="Hessequa"/>
        <filter val="iNkosi Langalibalele"/>
        <filter val="Intsika Yethu"/>
        <filter val="Inxuba Yethemba"/>
        <filter val="JB Marks"/>
        <filter val="JHB – A"/>
        <filter val="JHB – B"/>
        <filter val="JHB – C"/>
        <filter val="JHB – D"/>
        <filter val="JHB – E"/>
        <filter val="JHB – F"/>
        <filter val="JHB – G"/>
        <filter val="Joe Morolong"/>
        <filter val="Jozini"/>
        <filter val="Kagisano Molopo"/>
        <filter val="Kai !Garib"/>
        <filter val="Kamiesberg / KHÃ¢-Ma"/>
        <filter val="Kannaland"/>
        <filter val="King Sabata Dalindyebo"/>
        <filter val="Knysna / Bitou"/>
        <filter val="Kopanong"/>
        <filter val="Kouga / Kou-Kamma"/>
        <filter val="KwaDukuza"/>
        <filter val="KWA-ZULU NATAL"/>
        <filter val="Langeberg / Laingsburg"/>
        <filter val="Lekwa / Dipaleseng"/>
        <filter val="Lepele Nkumpi"/>
        <filter val="Lephalale"/>
        <filter val="Lesedi"/>
        <filter val="Letsemeng / Mohokare"/>
        <filter val="LIMPOPO"/>
        <filter val="Madibeng"/>
        <filter val="Mafikeng"/>
        <filter val="Mafube"/>
        <filter val="Makana"/>
        <filter val="Makhado"/>
        <filter val="Makhuduthamaga"/>
        <filter val="Maluti-a-phofung"/>
        <filter val="Mamusa / Lekwa-Teemane"/>
        <filter val="MAN-Bloemfontein"/>
        <filter val="MAN-Botshabelo / MAN-Thaba Nchu / MAN-Naledi"/>
        <filter val="Mandeni"/>
        <filter val="Mantsopa"/>
        <filter val="Maphumulo"/>
        <filter val="Maquassi Hills"/>
        <filter val="Maruleng"/>
        <filter val="Masilonyana"/>
        <filter val="Matatiele"/>
        <filter val="Matjhabeng"/>
        <filter val="Matlosana"/>
        <filter val="Matzikama"/>
        <filter val="Mbashe"/>
        <filter val="Merafong City"/>
        <filter val="Metsimaholo"/>
        <filter val="Mhlontlo"/>
        <filter val="Midvaal"/>
        <filter val="Mkhondo"/>
        <filter val="Mnquma"/>
        <filter val="Modimolle-Mokgophong"/>
        <filter val="Mogalakwena"/>
        <filter val="Mogale City"/>
        <filter val="MoleMole"/>
        <filter val="Moqhaka"/>
        <filter val="Moretele"/>
        <filter val="Moses Kotane"/>
        <filter val="Mossel Bay"/>
        <filter val="MPUMALANGA"/>
        <filter val="Msukaligwa"/>
        <filter val="Msunduzi / Mpofana"/>
        <filter val="Mthonjaneni"/>
        <filter val="Mtubatuba"/>
        <filter val="Musina"/>
        <filter val="Nala"/>
        <filter val="Naledi"/>
        <filter val="Nama Khoi / Richtersveld"/>
        <filter val="Ndlambe"/>
        <filter val="Ndwedwe"/>
        <filter val="Newcastle / eMadlangeni"/>
        <filter val="Ngqushwa"/>
        <filter val="Ngquza Hill"/>
        <filter val="Ngwathe"/>
        <filter val="Nkandla"/>
        <filter val="Nketoana"/>
        <filter val="Nkomazi"/>
        <filter val="NMA-Alex Matikanca"/>
        <filter val="NMA-Champion Galela"/>
        <filter val="NMA-Govan Mbeki"/>
        <filter val="NMA-Lillian Diedericks"/>
        <filter val="NMA-Molly Blackburn"/>
        <filter val="NMA-Zoli Nqini"/>
        <filter val="Nongoma"/>
        <filter val="NORTH WEST"/>
        <filter val="NORTHERN CAPE"/>
        <filter val="Nqutu / Endumeni"/>
        <filter val="Ntabankulu"/>
        <filter val="Nyandeni"/>
        <filter val="Okhahlamba"/>
        <filter val="Oudtshoorn / Prince Albert"/>
        <filter val="Overstrand"/>
        <filter val="Phokwane / Magareng"/>
        <filter val="Phumelela"/>
        <filter val="Polokwane"/>
        <filter val="Port St Johns"/>
        <filter val="Ramotshere Moiloa"/>
        <filter val="Rand West"/>
        <filter val="Ratlou"/>
        <filter val="Ray Nkonyeni"/>
        <filter val="Raymond Mhlaba"/>
        <filter val="Richmond / Mkhambathini"/>
        <filter val="Rustenburg / Kgetlengriver"/>
        <filter val="Sakhisizwe"/>
        <filter val="Saldanha Bay"/>
        <filter val="Senqu"/>
        <filter val="Setsoto"/>
        <filter val="Siyancuma / Siyathemba"/>
        <filter val="Sol Plaatjie"/>
        <filter val="Stellenbosch"/>
        <filter val="Steve Tshwete"/>
        <filter val="Sundays River Valley"/>
        <filter val="Swartland"/>
        <filter val="Thaba Chweu"/>
        <filter val="Thabazimbi"/>
        <filter val="Theewaterskloof"/>
        <filter val="Thembisile Hani"/>
        <filter val="Thulamela"/>
        <filter val="Tsantsabane / Kgatelopele"/>
        <filter val="TSH – 1"/>
        <filter val="TSH – 2"/>
        <filter val="TSH – 3"/>
        <filter val="TSH – 4"/>
        <filter val="TSH - 5 / TSH – 6"/>
        <filter val="Tswaing"/>
        <filter val="Tswelopele / Tokologo"/>
        <filter val="Ubuhlebezwe"/>
        <filter val="Ubuntu / Kareeberg"/>
        <filter val="Ulundi"/>
        <filter val="Umdoni"/>
        <filter val="uMfolozi"/>
        <filter val="Umhlabuyalingana"/>
        <filter val="uMhlathuze"/>
        <filter val="Umlalazi"/>
        <filter val="uMngeni"/>
        <filter val="uMshwathi"/>
        <filter val="Umsinga"/>
        <filter val="Umsombomvu"/>
        <filter val="Umuziwabantu"/>
        <filter val="Umvoti"/>
        <filter val="Umzimkhulu"/>
        <filter val="Umzimvubu"/>
        <filter val="Umzumbe"/>
        <filter val="Uphongolo"/>
        <filter val="Victor Khanye"/>
        <filter val="Walter Sisulu"/>
        <filter val="WESTERN CAPE"/>
        <filter val="Winnie Madikizela Mandela"/>
        <filter val="Witzenber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Secretary General Office</cp:lastModifiedBy>
  <dcterms:created xsi:type="dcterms:W3CDTF">2025-02-24T13:10:47Z</dcterms:created>
  <dcterms:modified xsi:type="dcterms:W3CDTF">2026-01-21T07:39:42Z</dcterms:modified>
</cp:coreProperties>
</file>