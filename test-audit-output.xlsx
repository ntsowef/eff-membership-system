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4" state="visible" r:id="rId4"/>
    <sheet sheetId="2" name="Sheet1" state="visible" r:id="rId5"/>
  </sheets>
  <calcPr calcId="171027"/>
</workbook>
</file>

<file path=xl/sharedStrings.xml><?xml version="1.0" encoding="utf-8"?>
<sst xmlns="http://schemas.openxmlformats.org/spreadsheetml/2006/main" count="349" uniqueCount="281">
  <si>
    <t>MUNICIPALITY</t>
  </si>
  <si>
    <t>NUMBER OF IEC WARDS</t>
  </si>
  <si>
    <t/>
  </si>
  <si>
    <t>NUMBER OF BRANCHES CONVENED</t>
  </si>
  <si>
    <t>NUMBER OF BRANCHES NOT CONVENED</t>
  </si>
  <si>
    <t>NUMBER OF BRANCHES PASSED AUDIT</t>
  </si>
  <si>
    <t>NUMBER OF BRANCHES FAILED AUDIT</t>
  </si>
  <si>
    <r>
      <rPr>
        <b/>
        <sz val="9"/>
        <rFont val="Arial"/>
      </rPr>
      <t>PERCENTAGE % TOWARDS 1</t>
    </r>
    <r>
      <rPr>
        <b/>
        <vertAlign val="superscript"/>
        <sz val="9"/>
        <rFont val="Arial"/>
      </rPr>
      <t>ST</t>
    </r>
    <r>
      <rPr>
        <b/>
        <sz val="9"/>
        <rFont val="Arial"/>
      </rPr>
      <t xml:space="preserve"> SRPA</t>
    </r>
  </si>
  <si>
    <t>Matatiele</t>
  </si>
  <si>
    <t>Mbizana</t>
  </si>
  <si>
    <t>Ntabankulu</t>
  </si>
  <si>
    <t>Umzimvubu</t>
  </si>
  <si>
    <t>TOTAL</t>
  </si>
  <si>
    <t>Amahlathi / Great Kei</t>
  </si>
  <si>
    <t>15 + 7 = 22</t>
  </si>
  <si>
    <t>Mbhashe</t>
  </si>
  <si>
    <t>Mnquma</t>
  </si>
  <si>
    <t>Ngqushwa</t>
  </si>
  <si>
    <t>Raymond Mhlaba</t>
  </si>
  <si>
    <t>BUF - East London</t>
  </si>
  <si>
    <t>BUF - King Williams Town</t>
  </si>
  <si>
    <t>BUF - Mdantsane</t>
  </si>
  <si>
    <t>BUF-Duncan Village</t>
  </si>
  <si>
    <t>Emalahleni</t>
  </si>
  <si>
    <t>Engcobo</t>
  </si>
  <si>
    <t>Enoch Mgijima</t>
  </si>
  <si>
    <t>Intsika Yethu</t>
  </si>
  <si>
    <t>Inxuba Yethemba</t>
  </si>
  <si>
    <t>Sakhisizwe</t>
  </si>
  <si>
    <t>Elundini</t>
  </si>
  <si>
    <t>Senqu</t>
  </si>
  <si>
    <t>Walter Sisulu</t>
  </si>
  <si>
    <t>NMA - Champion Galela</t>
  </si>
  <si>
    <t>NMA - Govan Mbeki</t>
  </si>
  <si>
    <t>NMA - Lillian Diedericks</t>
  </si>
  <si>
    <t>NMA - Molly Blackburn</t>
  </si>
  <si>
    <t>NMA - Zola Nqini</t>
  </si>
  <si>
    <t>NMA-Alex Matikama</t>
  </si>
  <si>
    <t>NMA-Alex Matikanca</t>
  </si>
  <si>
    <t>Ingquza Hill</t>
  </si>
  <si>
    <t>King Sabata Dalindyebo</t>
  </si>
  <si>
    <t>Mhlontlo</t>
  </si>
  <si>
    <t>Nyandeni</t>
  </si>
  <si>
    <t>Port St Johns</t>
  </si>
  <si>
    <t>Dr. Beyers Naude / Blue Crane Route</t>
  </si>
  <si>
    <t>12 + 6 = 18</t>
  </si>
  <si>
    <t>Kouga / Kou-Kamma</t>
  </si>
  <si>
    <t>15 + 6 = 21</t>
  </si>
  <si>
    <t>Makana</t>
  </si>
  <si>
    <t>Ndlambe</t>
  </si>
  <si>
    <t>Sundays River Valley</t>
  </si>
  <si>
    <t>EASTERN CAPE</t>
  </si>
  <si>
    <t>Mafube</t>
  </si>
  <si>
    <t>Metsimaholo</t>
  </si>
  <si>
    <t>Moqhaka</t>
  </si>
  <si>
    <t>Ngwathe</t>
  </si>
  <si>
    <t>Masilonyana</t>
  </si>
  <si>
    <t>Matjhabeng</t>
  </si>
  <si>
    <t>Nala</t>
  </si>
  <si>
    <t>Tswelopele / Tokologo</t>
  </si>
  <si>
    <t>9 + 7 = 16</t>
  </si>
  <si>
    <t>MAN - Bloemfontein</t>
  </si>
  <si>
    <t>MAN-Botshabelo / MAN-Thaba Nchu / MAN-Naledi</t>
  </si>
  <si>
    <t>12 + 5 + 2 = 19</t>
  </si>
  <si>
    <t>Dihlabeng</t>
  </si>
  <si>
    <t>Maluti a Phofung</t>
  </si>
  <si>
    <t>Mantsopa</t>
  </si>
  <si>
    <t>Nketoana</t>
  </si>
  <si>
    <t>Phumelela</t>
  </si>
  <si>
    <t>Setsoto</t>
  </si>
  <si>
    <t>Kopanong</t>
  </si>
  <si>
    <t>Letsemeng / Mohokare</t>
  </si>
  <si>
    <t>7 + 7 = 14</t>
  </si>
  <si>
    <t>FREE STATE</t>
  </si>
  <si>
    <t>JHB - A</t>
  </si>
  <si>
    <t>JHB - B</t>
  </si>
  <si>
    <t>JHB - C</t>
  </si>
  <si>
    <t>JHB - D</t>
  </si>
  <si>
    <t>JHB - E</t>
  </si>
  <si>
    <t>JHB - F</t>
  </si>
  <si>
    <t>JHB - G</t>
  </si>
  <si>
    <t>TSH - 1</t>
  </si>
  <si>
    <t>TSH - 2</t>
  </si>
  <si>
    <t>TSH - 3</t>
  </si>
  <si>
    <t>TSH - 4</t>
  </si>
  <si>
    <t>TSH - 5 / TSH - 6</t>
  </si>
  <si>
    <t>26 + 5 = 31</t>
  </si>
  <si>
    <t>EKU - Central</t>
  </si>
  <si>
    <t>EKU - East</t>
  </si>
  <si>
    <t>EKU - Far East</t>
  </si>
  <si>
    <t>EKU - North</t>
  </si>
  <si>
    <t>EKU - South</t>
  </si>
  <si>
    <t>Emfuleni</t>
  </si>
  <si>
    <t>Lesedi</t>
  </si>
  <si>
    <t>Midvaal</t>
  </si>
  <si>
    <t>Merafong City</t>
  </si>
  <si>
    <t>Mogale City</t>
  </si>
  <si>
    <t>Rand West City</t>
  </si>
  <si>
    <t>GAUTENG</t>
  </si>
  <si>
    <t>Dannhauser</t>
  </si>
  <si>
    <t>Newcastle / eMadlangeni</t>
  </si>
  <si>
    <t>34 + 6 = 40</t>
  </si>
  <si>
    <t>Dr. Nkosazana Dlamini Zuma / Impendle</t>
  </si>
  <si>
    <t>15 + 5 = 20</t>
  </si>
  <si>
    <t>Greater Kokstad</t>
  </si>
  <si>
    <t>Ubuhlebezwe</t>
  </si>
  <si>
    <t>Umzimkhulu</t>
  </si>
  <si>
    <t>Mfolozi</t>
  </si>
  <si>
    <t>Mthonjaneni</t>
  </si>
  <si>
    <t>Nkandla</t>
  </si>
  <si>
    <t>uMhlathuze</t>
  </si>
  <si>
    <t>uMlalazi</t>
  </si>
  <si>
    <t>Ray Nkonyeni</t>
  </si>
  <si>
    <t>Umdoni</t>
  </si>
  <si>
    <t>UMuziwabantu</t>
  </si>
  <si>
    <t>Umzumbe</t>
  </si>
  <si>
    <t>Msunduzi / Mpofana</t>
  </si>
  <si>
    <t>41 + 5 = 46</t>
  </si>
  <si>
    <t>Richmond / Mkhambathini</t>
  </si>
  <si>
    <t>uMngeni</t>
  </si>
  <si>
    <t>uMshwathi</t>
  </si>
  <si>
    <t>Big Five Hlabisa</t>
  </si>
  <si>
    <t>Jozini</t>
  </si>
  <si>
    <t>Mtubatuba</t>
  </si>
  <si>
    <t>Umhlabuyalingana</t>
  </si>
  <si>
    <t>Msinga</t>
  </si>
  <si>
    <t>Nqutu / Endumeni</t>
  </si>
  <si>
    <t>19 + 7 = 26</t>
  </si>
  <si>
    <t>Umvoti</t>
  </si>
  <si>
    <t>Alfred Duma</t>
  </si>
  <si>
    <t>Inkosi Langalibalele</t>
  </si>
  <si>
    <t>Okhahlamba</t>
  </si>
  <si>
    <t>Abaqulusi</t>
  </si>
  <si>
    <t>eDumbe</t>
  </si>
  <si>
    <t>Nongoma</t>
  </si>
  <si>
    <t>Ulundi</t>
  </si>
  <si>
    <t>UPhongolo</t>
  </si>
  <si>
    <t>ETH - Central</t>
  </si>
  <si>
    <t>ETH - Far North</t>
  </si>
  <si>
    <t>ETH - Far South</t>
  </si>
  <si>
    <t>ETH - Inner West</t>
  </si>
  <si>
    <t>ETH - North Central</t>
  </si>
  <si>
    <t>ETH - North West</t>
  </si>
  <si>
    <t>ETH - Outer West</t>
  </si>
  <si>
    <t>ETH - South</t>
  </si>
  <si>
    <t>ETH - South Central / ETH - South West</t>
  </si>
  <si>
    <t>KwaDukuza</t>
  </si>
  <si>
    <t>Mandeni</t>
  </si>
  <si>
    <t>Maphumulo</t>
  </si>
  <si>
    <t>Ndwedwe</t>
  </si>
  <si>
    <t>KWAZULU-NATAL</t>
  </si>
  <si>
    <t>Blouberg</t>
  </si>
  <si>
    <t>Lepele-Nkumpi</t>
  </si>
  <si>
    <t>Molemole</t>
  </si>
  <si>
    <t>Polokwane</t>
  </si>
  <si>
    <t>Ba-Phalaborwa</t>
  </si>
  <si>
    <t>Greater Giyani</t>
  </si>
  <si>
    <t>Greater Letaba</t>
  </si>
  <si>
    <t>Greater Tzaneen</t>
  </si>
  <si>
    <t>Maruleng</t>
  </si>
  <si>
    <t>Elias Motsoaledi</t>
  </si>
  <si>
    <t>Ephraim Mogale</t>
  </si>
  <si>
    <t>Fetakgomo Tubatse</t>
  </si>
  <si>
    <t>Makhuduthamaga</t>
  </si>
  <si>
    <t>Collins Chabane</t>
  </si>
  <si>
    <t>Makhado</t>
  </si>
  <si>
    <t>Musina</t>
  </si>
  <si>
    <t>Thulamela</t>
  </si>
  <si>
    <t>Bela-Bela</t>
  </si>
  <si>
    <t>Lephalale</t>
  </si>
  <si>
    <t>Modimolle-Mookgophong</t>
  </si>
  <si>
    <t>Mogalakwena</t>
  </si>
  <si>
    <t>Thabazimbi</t>
  </si>
  <si>
    <t>LIMPOPO</t>
  </si>
  <si>
    <t>City of Mbombela</t>
  </si>
  <si>
    <t>Nkomazi</t>
  </si>
  <si>
    <t>Bushbuckridge</t>
  </si>
  <si>
    <t>Thaba Chweu</t>
  </si>
  <si>
    <t>Chief Albert Luthuli</t>
  </si>
  <si>
    <t>Dr Pixley Ka Isaka Seme</t>
  </si>
  <si>
    <t>Govan Mbeki</t>
  </si>
  <si>
    <t>Lekwa / Dipaleseng</t>
  </si>
  <si>
    <t>Mkhondo</t>
  </si>
  <si>
    <t>Msukaligwa</t>
  </si>
  <si>
    <t>Dr JS Moroka</t>
  </si>
  <si>
    <t>Emakhazeni</t>
  </si>
  <si>
    <t>Steve Tshwete</t>
  </si>
  <si>
    <t>Thembisile Hani</t>
  </si>
  <si>
    <t>Victor Khanye</t>
  </si>
  <si>
    <t>MPUMALANGA</t>
  </si>
  <si>
    <t>Madibeng</t>
  </si>
  <si>
    <t>Moretele</t>
  </si>
  <si>
    <t>Moses Kotane</t>
  </si>
  <si>
    <t>Rustenburg / Kgetlengrivier</t>
  </si>
  <si>
    <t>45 + 7 = 52</t>
  </si>
  <si>
    <t>City of Matlosana</t>
  </si>
  <si>
    <t>JB Marks</t>
  </si>
  <si>
    <t>Maquassi Hills</t>
  </si>
  <si>
    <t>Greater Taung</t>
  </si>
  <si>
    <t>Kagisano/Molopo</t>
  </si>
  <si>
    <t>Mamusa / Lekwa-Teemane</t>
  </si>
  <si>
    <t>8 + 7 = 15</t>
  </si>
  <si>
    <t>Naledi</t>
  </si>
  <si>
    <t>Ditsobotla</t>
  </si>
  <si>
    <t>Mafikeng</t>
  </si>
  <si>
    <t>Ramotshere Moiloa</t>
  </si>
  <si>
    <t>Ratlou</t>
  </si>
  <si>
    <t>Tswaing</t>
  </si>
  <si>
    <t>NORTH WEST</t>
  </si>
  <si>
    <t>Dikgatlong</t>
  </si>
  <si>
    <t>Phokwane / Magareng</t>
  </si>
  <si>
    <t>10 + 6 = 16</t>
  </si>
  <si>
    <t>Sol Plaatje</t>
  </si>
  <si>
    <t>Ga-Segonyana</t>
  </si>
  <si>
    <t>Gamagara</t>
  </si>
  <si>
    <t>Joe Morolong</t>
  </si>
  <si>
    <t>Hantam / !Kheis / Karoo Hoogland</t>
  </si>
  <si>
    <t>7 + 6 + 6 = 19</t>
  </si>
  <si>
    <t>Kamiesberg / Khâi-Ma</t>
  </si>
  <si>
    <t>6 + 6 = 12</t>
  </si>
  <si>
    <t>Nama Khoi / Richtersveld</t>
  </si>
  <si>
    <t>9 + 6 = 15</t>
  </si>
  <si>
    <t>Emthanjeni / Thembelihle / Renosterberg</t>
  </si>
  <si>
    <t>8 + 6 + 5 = 19</t>
  </si>
  <si>
    <t>Siyancuma / Siyathemba</t>
  </si>
  <si>
    <t>7 + 6 = 13</t>
  </si>
  <si>
    <t>Ubuntu / Kareeberg</t>
  </si>
  <si>
    <t>Umsobomvu</t>
  </si>
  <si>
    <t>Dawid Kruiper</t>
  </si>
  <si>
    <t>Kai !Garib</t>
  </si>
  <si>
    <t>Tsantsabane / Kgatelopele</t>
  </si>
  <si>
    <t>NORTHERN CAPE</t>
  </si>
  <si>
    <t>Breede Valley</t>
  </si>
  <si>
    <t>Drakenstein</t>
  </si>
  <si>
    <t>Langeberg / Laingsburg</t>
  </si>
  <si>
    <t>12 + 4 = 16</t>
  </si>
  <si>
    <t>Stellenbosch</t>
  </si>
  <si>
    <t>Witzenberg</t>
  </si>
  <si>
    <t>Beaufort West</t>
  </si>
  <si>
    <t>CPT - Zone 1</t>
  </si>
  <si>
    <t>CPT - Zone 10</t>
  </si>
  <si>
    <t>CPT - Zone 2</t>
  </si>
  <si>
    <t>CPT - Zone 3</t>
  </si>
  <si>
    <t>CPT - Zone 4</t>
  </si>
  <si>
    <t>CPT - Zone 5/9</t>
  </si>
  <si>
    <t>11 + 10 = 21</t>
  </si>
  <si>
    <t>CPT - Zone 6</t>
  </si>
  <si>
    <t>CPT - Zone 7</t>
  </si>
  <si>
    <t>CPT - Zone 8</t>
  </si>
  <si>
    <t>George</t>
  </si>
  <si>
    <t>Hessequa</t>
  </si>
  <si>
    <t>Kannaland</t>
  </si>
  <si>
    <t>Knysna / Bitou</t>
  </si>
  <si>
    <t>11 + 7 = 18</t>
  </si>
  <si>
    <t>Mossel Bay</t>
  </si>
  <si>
    <t>Oudtshoorn / Prince Albert</t>
  </si>
  <si>
    <t>13 + 4 = 17</t>
  </si>
  <si>
    <t>Cape Agulhas / Swellendam</t>
  </si>
  <si>
    <t>Overstrand</t>
  </si>
  <si>
    <t>Theewaterskloof</t>
  </si>
  <si>
    <t>Bergrivier / Cederberg</t>
  </si>
  <si>
    <t>Matzikama</t>
  </si>
  <si>
    <t>Saldanha Bay</t>
  </si>
  <si>
    <t>Swartland</t>
  </si>
  <si>
    <t>WESTERN CAPE</t>
  </si>
  <si>
    <t>#</t>
  </si>
  <si>
    <t>PROVINCE</t>
  </si>
  <si>
    <t>TOTAL NUMBER OF REGISTERS ISSUED</t>
  </si>
  <si>
    <t>NUMBER OF BRANCHES CONVENED BPA/BGA</t>
  </si>
  <si>
    <t>NUMBER OF BRANCHES NOT CONVENED BPA/BGA</t>
  </si>
  <si>
    <t>NUMBER OF BRANCHES CURRENTLY IN AUDIT</t>
  </si>
  <si>
    <t>NUMBER OF BRANCHES CONVENED BPA/BGA FROM PREVIOUS WAR COUNCIL</t>
  </si>
  <si>
    <t>Eastern Cape</t>
  </si>
  <si>
    <t>Free State</t>
  </si>
  <si>
    <t>Gauteng</t>
  </si>
  <si>
    <t>KwaZulu-Natal</t>
  </si>
  <si>
    <t>Limpopo</t>
  </si>
  <si>
    <t>Mpumalanga</t>
  </si>
  <si>
    <t>North West</t>
  </si>
  <si>
    <t>Northern Cape</t>
  </si>
  <si>
    <t>Western Cape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</si>
</sst>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9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9"/>
  <sheetFormatPr defaultRowHeight="15" outlineLevelRow="0" outlineLevelCol="0" x14ac:dyDescent="55"/>
  <cols>
    <col min="1" max="1" width="26.7" customWidth="1"/>
    <col min="2" max="2" width="12.5" customWidth="1"/>
    <col min="3" max="3" width="3.5" customWidth="1"/>
    <col min="4" max="4" width="15.3" customWidth="1"/>
    <col min="5" max="5" width="18.6" customWidth="1"/>
    <col min="6" max="6" width="15.9" customWidth="1"/>
    <col min="7" max="7" width="13.5" customWidth="1"/>
    <col min="8" max="8" width="16" customWidth="1"/>
  </cols>
  <sheetData>
    <row r="1" ht="40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27</v>
      </c>
      <c r="C2" s="3"/>
      <c r="D2" s="3">
        <f>F2+G2</f>
      </c>
      <c r="E2" s="3">
        <f>B2-D2</f>
      </c>
      <c r="F2" s="3">
        <v>9</v>
      </c>
      <c r="G2" s="3">
        <v>0</v>
      </c>
      <c r="H2" s="4">
        <f>F2/B2</f>
      </c>
    </row>
    <row r="3" spans="1:8" x14ac:dyDescent="0.25">
      <c r="A3" s="2" t="s">
        <v>9</v>
      </c>
      <c r="B3" s="3">
        <v>32</v>
      </c>
      <c r="C3" s="3"/>
      <c r="D3" s="3">
        <f>F3+G3</f>
      </c>
      <c r="E3" s="3">
        <f>B3-D3</f>
      </c>
      <c r="F3" s="3">
        <v>3</v>
      </c>
      <c r="G3" s="3">
        <v>0</v>
      </c>
      <c r="H3" s="4">
        <f>F3/B3</f>
      </c>
    </row>
    <row r="4" spans="1:8" x14ac:dyDescent="0.25">
      <c r="A4" s="2" t="s">
        <v>10</v>
      </c>
      <c r="B4" s="3">
        <v>19</v>
      </c>
      <c r="C4" s="3"/>
      <c r="D4" s="3">
        <f>F4+G4</f>
      </c>
      <c r="E4" s="3">
        <f>B4-D4</f>
      </c>
      <c r="F4" s="3">
        <v>4</v>
      </c>
      <c r="G4" s="3">
        <v>0</v>
      </c>
      <c r="H4" s="4">
        <f>F4/B4</f>
      </c>
    </row>
    <row r="5" spans="1:8" x14ac:dyDescent="0.25">
      <c r="A5" s="2" t="s">
        <v>11</v>
      </c>
      <c r="B5" s="3">
        <v>28</v>
      </c>
      <c r="C5" s="3"/>
      <c r="D5" s="3">
        <f>F5+G5</f>
      </c>
      <c r="E5" s="3">
        <f>B5-D5</f>
      </c>
      <c r="F5" s="3">
        <v>8</v>
      </c>
      <c r="G5" s="3">
        <v>0</v>
      </c>
      <c r="H5" s="4">
        <f>F5/B5</f>
      </c>
    </row>
    <row r="6" spans="1:8" x14ac:dyDescent="0.25">
      <c r="A6" s="5" t="s">
        <v>12</v>
      </c>
      <c r="B6" s="6">
        <f>SUM(B2:B5)</f>
      </c>
      <c r="C6" s="5"/>
      <c r="D6" s="6">
        <f>SUM(D2:D5)</f>
      </c>
      <c r="E6" s="6">
        <f>SUM(E2:E5)</f>
      </c>
      <c r="F6" s="6">
        <f>SUM(F2:F5)</f>
      </c>
      <c r="G6" s="6">
        <f>SUM(G2:G5)</f>
      </c>
      <c r="H6" s="7">
        <f>F6/B6</f>
      </c>
    </row>
    <row r="7" spans="1:8" x14ac:dyDescent="0.25">
      <c r="A7" s="2" t="s">
        <v>13</v>
      </c>
      <c r="B7" s="3" t="s">
        <v>14</v>
      </c>
      <c r="C7" s="3">
        <v>22</v>
      </c>
      <c r="D7" s="3">
        <f>F7+G7</f>
      </c>
      <c r="E7" s="3">
        <f>C7-D7</f>
      </c>
      <c r="F7" s="3">
        <v>3</v>
      </c>
      <c r="G7" s="3">
        <v>0</v>
      </c>
      <c r="H7" s="4">
        <f>F7/C7</f>
      </c>
    </row>
    <row r="8" spans="1:8" x14ac:dyDescent="0.25">
      <c r="A8" s="2" t="s">
        <v>15</v>
      </c>
      <c r="B8" s="3">
        <v>32</v>
      </c>
      <c r="C8" s="3"/>
      <c r="D8" s="3">
        <f>F8+G8</f>
      </c>
      <c r="E8" s="3">
        <f>B8-D8</f>
      </c>
      <c r="F8" s="3">
        <v>6</v>
      </c>
      <c r="G8" s="3">
        <v>0</v>
      </c>
      <c r="H8" s="4">
        <f>F8/B8</f>
      </c>
    </row>
    <row r="9" spans="1:8" x14ac:dyDescent="0.25">
      <c r="A9" s="2" t="s">
        <v>16</v>
      </c>
      <c r="B9" s="3">
        <v>32</v>
      </c>
      <c r="C9" s="3"/>
      <c r="D9" s="3">
        <f>F9+G9</f>
      </c>
      <c r="E9" s="3">
        <f>B9-D9</f>
      </c>
      <c r="F9" s="3">
        <v>4</v>
      </c>
      <c r="G9" s="3">
        <v>0</v>
      </c>
      <c r="H9" s="4">
        <f>F9/B9</f>
      </c>
    </row>
    <row r="10" spans="1:8" x14ac:dyDescent="0.25">
      <c r="A10" s="2" t="s">
        <v>17</v>
      </c>
      <c r="B10" s="3">
        <v>12</v>
      </c>
      <c r="C10" s="3"/>
      <c r="D10" s="3">
        <f>F10+G10</f>
      </c>
      <c r="E10" s="3">
        <f>B10-D10</f>
      </c>
      <c r="F10" s="3">
        <v>2</v>
      </c>
      <c r="G10" s="3">
        <v>0</v>
      </c>
      <c r="H10" s="4">
        <f>F10/B10</f>
      </c>
    </row>
    <row r="11" spans="1:8" x14ac:dyDescent="0.25">
      <c r="A11" s="2" t="s">
        <v>18</v>
      </c>
      <c r="B11" s="3">
        <v>23</v>
      </c>
      <c r="C11" s="3"/>
      <c r="D11" s="3">
        <f>F11+G11</f>
      </c>
      <c r="E11" s="3">
        <f>B11-D11</f>
      </c>
      <c r="F11" s="3">
        <v>4</v>
      </c>
      <c r="G11" s="3">
        <v>0</v>
      </c>
      <c r="H11" s="4">
        <f>F11/B11</f>
      </c>
    </row>
    <row r="12" spans="1:8" x14ac:dyDescent="0.25">
      <c r="A12" s="5" t="s">
        <v>12</v>
      </c>
      <c r="B12" s="6">
        <f>SUM(B7:B11)</f>
      </c>
      <c r="C12" s="5"/>
      <c r="D12" s="6">
        <f>SUM(D7:D11)</f>
      </c>
      <c r="E12" s="6">
        <f>SUM(E7:E11)</f>
      </c>
      <c r="F12" s="6">
        <f>SUM(F7:F11)</f>
      </c>
      <c r="G12" s="6">
        <f>SUM(G7:G11)</f>
      </c>
      <c r="H12" s="7">
        <f>F12/B12</f>
      </c>
    </row>
    <row r="13" spans="1:8" x14ac:dyDescent="0.25">
      <c r="A13" s="2" t="s">
        <v>19</v>
      </c>
      <c r="B13" s="3">
        <v>17</v>
      </c>
      <c r="C13" s="3"/>
      <c r="D13" s="3">
        <f>F13+G13</f>
      </c>
      <c r="E13" s="3">
        <f>B13-D13</f>
      </c>
      <c r="F13" s="3">
        <v>13</v>
      </c>
      <c r="G13" s="3">
        <v>0</v>
      </c>
      <c r="H13" s="4">
        <f>F13/B13</f>
      </c>
    </row>
    <row r="14" spans="1:8" x14ac:dyDescent="0.25">
      <c r="A14" s="2" t="s">
        <v>20</v>
      </c>
      <c r="B14" s="3">
        <v>13</v>
      </c>
      <c r="C14" s="3"/>
      <c r="D14" s="3">
        <f>F14+G14</f>
      </c>
      <c r="E14" s="3">
        <f>B14-D14</f>
      </c>
      <c r="F14" s="3">
        <v>6</v>
      </c>
      <c r="G14" s="3">
        <v>0</v>
      </c>
      <c r="H14" s="4">
        <f>F14/B14</f>
      </c>
    </row>
    <row r="15" spans="1:8" x14ac:dyDescent="0.25">
      <c r="A15" s="2" t="s">
        <v>21</v>
      </c>
      <c r="B15" s="3">
        <v>12</v>
      </c>
      <c r="C15" s="3"/>
      <c r="D15" s="3">
        <f>F15+G15</f>
      </c>
      <c r="E15" s="3">
        <f>B15-D15</f>
      </c>
      <c r="F15" s="3">
        <v>11</v>
      </c>
      <c r="G15" s="3">
        <v>0</v>
      </c>
      <c r="H15" s="4">
        <f>F15/B15</f>
      </c>
    </row>
    <row r="16" spans="1:8" x14ac:dyDescent="0.25">
      <c r="A16" s="2" t="s">
        <v>22</v>
      </c>
      <c r="B16" s="3">
        <v>8</v>
      </c>
      <c r="C16" s="3"/>
      <c r="D16" s="3">
        <f>F16+G16</f>
      </c>
      <c r="E16" s="3">
        <f>B16-D16</f>
      </c>
      <c r="F16" s="3">
        <v>3</v>
      </c>
      <c r="G16" s="3">
        <v>0</v>
      </c>
      <c r="H16" s="4">
        <f>F16/B16</f>
      </c>
    </row>
    <row r="17" spans="1:8" x14ac:dyDescent="0.25">
      <c r="A17" s="5" t="s">
        <v>12</v>
      </c>
      <c r="B17" s="6">
        <f>SUM(B13:B16)</f>
      </c>
      <c r="C17" s="5"/>
      <c r="D17" s="6">
        <f>SUM(D13:D16)</f>
      </c>
      <c r="E17" s="6">
        <f>SUM(E13:E16)</f>
      </c>
      <c r="F17" s="6">
        <f>SUM(F13:F16)</f>
      </c>
      <c r="G17" s="6">
        <f>SUM(G13:G16)</f>
      </c>
      <c r="H17" s="7">
        <f>F17/B17</f>
      </c>
    </row>
    <row r="18" spans="1:8" x14ac:dyDescent="0.25">
      <c r="A18" s="2" t="s">
        <v>23</v>
      </c>
      <c r="B18" s="3">
        <v>17</v>
      </c>
      <c r="C18" s="3"/>
      <c r="D18" s="3">
        <f>F18+G18</f>
      </c>
      <c r="E18" s="3">
        <f>B18-D18</f>
      </c>
      <c r="F18" s="3">
        <v>1</v>
      </c>
      <c r="G18" s="3">
        <v>0</v>
      </c>
      <c r="H18" s="4">
        <f>F18/B18</f>
      </c>
    </row>
    <row r="19" spans="1:8" x14ac:dyDescent="0.25">
      <c r="A19" s="2" t="s">
        <v>24</v>
      </c>
      <c r="B19" s="3">
        <v>20</v>
      </c>
      <c r="C19" s="3"/>
      <c r="D19" s="3">
        <f>F19+G19</f>
      </c>
      <c r="E19" s="3">
        <f>B19-D19</f>
      </c>
      <c r="F19" s="3">
        <v>1</v>
      </c>
      <c r="G19" s="3">
        <v>0</v>
      </c>
      <c r="H19" s="4">
        <f>F19/B19</f>
      </c>
    </row>
    <row r="20" spans="1:8" x14ac:dyDescent="0.25">
      <c r="A20" s="2" t="s">
        <v>25</v>
      </c>
      <c r="B20" s="3">
        <v>34</v>
      </c>
      <c r="C20" s="3"/>
      <c r="D20" s="3">
        <f>F20+G20</f>
      </c>
      <c r="E20" s="3">
        <f>B20-D20</f>
      </c>
      <c r="F20" s="3">
        <v>5</v>
      </c>
      <c r="G20" s="3">
        <v>0</v>
      </c>
      <c r="H20" s="4">
        <f>F20/B20</f>
      </c>
    </row>
    <row r="21" spans="1:8" x14ac:dyDescent="0.25">
      <c r="A21" s="2" t="s">
        <v>26</v>
      </c>
      <c r="B21" s="3">
        <v>21</v>
      </c>
      <c r="C21" s="3"/>
      <c r="D21" s="3">
        <f>F21+G21</f>
      </c>
      <c r="E21" s="3">
        <f>B21-D21</f>
      </c>
      <c r="F21" s="3">
        <v>4</v>
      </c>
      <c r="G21" s="3">
        <v>0</v>
      </c>
      <c r="H21" s="4">
        <f>F21/B21</f>
      </c>
    </row>
    <row r="22" spans="1:8" x14ac:dyDescent="0.25">
      <c r="A22" s="2" t="s">
        <v>27</v>
      </c>
      <c r="B22" s="3">
        <v>9</v>
      </c>
      <c r="C22" s="3"/>
      <c r="D22" s="3">
        <f>F22+G22</f>
      </c>
      <c r="E22" s="3">
        <f>B22-D22</f>
      </c>
      <c r="F22" s="3">
        <v>0</v>
      </c>
      <c r="G22" s="3">
        <v>0</v>
      </c>
      <c r="H22" s="4">
        <f>F22/B22</f>
      </c>
    </row>
    <row r="23" spans="1:8" x14ac:dyDescent="0.25">
      <c r="A23" s="2" t="s">
        <v>28</v>
      </c>
      <c r="B23" s="3">
        <v>9</v>
      </c>
      <c r="C23" s="3"/>
      <c r="D23" s="3">
        <f>F23+G23</f>
      </c>
      <c r="E23" s="3">
        <f>B23-D23</f>
      </c>
      <c r="F23" s="3">
        <v>1</v>
      </c>
      <c r="G23" s="3">
        <v>0</v>
      </c>
      <c r="H23" s="4">
        <f>F23/B23</f>
      </c>
    </row>
    <row r="24" spans="1:8" x14ac:dyDescent="0.25">
      <c r="A24" s="5" t="s">
        <v>12</v>
      </c>
      <c r="B24" s="6">
        <f>SUM(B18:B23)</f>
      </c>
      <c r="C24" s="5"/>
      <c r="D24" s="6">
        <f>SUM(D18:D23)</f>
      </c>
      <c r="E24" s="6">
        <f>SUM(E18:E23)</f>
      </c>
      <c r="F24" s="6">
        <f>SUM(F18:F23)</f>
      </c>
      <c r="G24" s="6">
        <f>SUM(G18:G23)</f>
      </c>
      <c r="H24" s="7">
        <f>F24/B24</f>
      </c>
    </row>
    <row r="25" spans="1:8" x14ac:dyDescent="0.25">
      <c r="A25" s="2" t="s">
        <v>29</v>
      </c>
      <c r="B25" s="3">
        <v>17</v>
      </c>
      <c r="C25" s="3"/>
      <c r="D25" s="3">
        <f>F25+G25</f>
      </c>
      <c r="E25" s="3">
        <f>B25-D25</f>
      </c>
      <c r="F25" s="3">
        <v>1</v>
      </c>
      <c r="G25" s="3">
        <v>0</v>
      </c>
      <c r="H25" s="4">
        <f>F25/B25</f>
      </c>
    </row>
    <row r="26" spans="1:8" x14ac:dyDescent="0.25">
      <c r="A26" s="2" t="s">
        <v>30</v>
      </c>
      <c r="B26" s="3">
        <v>17</v>
      </c>
      <c r="C26" s="3"/>
      <c r="D26" s="3">
        <f>F26+G26</f>
      </c>
      <c r="E26" s="3">
        <f>B26-D26</f>
      </c>
      <c r="F26" s="3">
        <v>3</v>
      </c>
      <c r="G26" s="3">
        <v>0</v>
      </c>
      <c r="H26" s="4">
        <f>F26/B26</f>
      </c>
    </row>
    <row r="27" spans="1:8" x14ac:dyDescent="0.25">
      <c r="A27" s="2" t="s">
        <v>31</v>
      </c>
      <c r="B27" s="3">
        <v>11</v>
      </c>
      <c r="C27" s="3"/>
      <c r="D27" s="3">
        <f>F27+G27</f>
      </c>
      <c r="E27" s="3">
        <f>B27-D27</f>
      </c>
      <c r="F27" s="3">
        <v>3</v>
      </c>
      <c r="G27" s="3">
        <v>0</v>
      </c>
      <c r="H27" s="4">
        <f>F27/B27</f>
      </c>
    </row>
    <row r="28" spans="1:8" x14ac:dyDescent="0.25">
      <c r="A28" s="5" t="s">
        <v>12</v>
      </c>
      <c r="B28" s="6">
        <f>SUM(B25:B27)</f>
      </c>
      <c r="C28" s="5"/>
      <c r="D28" s="6">
        <f>SUM(D25:D27)</f>
      </c>
      <c r="E28" s="6">
        <f>SUM(E25:E27)</f>
      </c>
      <c r="F28" s="6">
        <f>SUM(F25:F27)</f>
      </c>
      <c r="G28" s="6">
        <f>SUM(G25:G27)</f>
      </c>
      <c r="H28" s="7">
        <f>F28/B28</f>
      </c>
    </row>
    <row r="29" spans="1:8" x14ac:dyDescent="0.25">
      <c r="A29" s="2" t="s">
        <v>32</v>
      </c>
      <c r="B29" s="3">
        <v>9</v>
      </c>
      <c r="C29" s="3"/>
      <c r="D29" s="3">
        <f>F29+G29</f>
      </c>
      <c r="E29" s="3">
        <f>B29-D29</f>
      </c>
      <c r="F29" s="3">
        <v>8</v>
      </c>
      <c r="G29" s="3">
        <v>0</v>
      </c>
      <c r="H29" s="4">
        <f>F29/B29</f>
      </c>
    </row>
    <row r="30" spans="1:8" x14ac:dyDescent="0.25">
      <c r="A30" s="2" t="s">
        <v>33</v>
      </c>
      <c r="B30" s="3">
        <v>10</v>
      </c>
      <c r="C30" s="3"/>
      <c r="D30" s="3">
        <f>F30+G30</f>
      </c>
      <c r="E30" s="3">
        <f>B30-D30</f>
      </c>
      <c r="F30" s="3">
        <v>6</v>
      </c>
      <c r="G30" s="3">
        <v>0</v>
      </c>
      <c r="H30" s="4">
        <f>F30/B30</f>
      </c>
    </row>
    <row r="31" spans="1:8" x14ac:dyDescent="0.25">
      <c r="A31" s="2" t="s">
        <v>34</v>
      </c>
      <c r="B31" s="3">
        <v>10</v>
      </c>
      <c r="C31" s="3"/>
      <c r="D31" s="3">
        <f>F31+G31</f>
      </c>
      <c r="E31" s="3">
        <f>B31-D31</f>
      </c>
      <c r="F31" s="3">
        <v>3</v>
      </c>
      <c r="G31" s="3">
        <v>0</v>
      </c>
      <c r="H31" s="4">
        <f>F31/B31</f>
      </c>
    </row>
    <row r="32" spans="1:8" x14ac:dyDescent="0.25">
      <c r="A32" s="2" t="s">
        <v>35</v>
      </c>
      <c r="B32" s="3">
        <v>11</v>
      </c>
      <c r="C32" s="3"/>
      <c r="D32" s="3">
        <f>F32+G32</f>
      </c>
      <c r="E32" s="3">
        <f>B32-D32</f>
      </c>
      <c r="F32" s="3">
        <v>5</v>
      </c>
      <c r="G32" s="3">
        <v>0</v>
      </c>
      <c r="H32" s="4">
        <f>F32/B32</f>
      </c>
    </row>
    <row r="33" spans="1:8" x14ac:dyDescent="0.25">
      <c r="A33" s="2" t="s">
        <v>36</v>
      </c>
      <c r="B33" s="3">
        <v>11</v>
      </c>
      <c r="C33" s="3"/>
      <c r="D33" s="3">
        <f>F33+G33</f>
      </c>
      <c r="E33" s="3">
        <f>B33-D33</f>
      </c>
      <c r="F33" s="3">
        <v>6</v>
      </c>
      <c r="G33" s="3">
        <v>0</v>
      </c>
      <c r="H33" s="4">
        <f>F33/B33</f>
      </c>
    </row>
    <row r="34" spans="1:8" x14ac:dyDescent="0.25">
      <c r="A34" s="2" t="s">
        <v>37</v>
      </c>
      <c r="B34" s="3">
        <v>8</v>
      </c>
      <c r="C34" s="3"/>
      <c r="D34" s="3">
        <f>F34+G34</f>
      </c>
      <c r="E34" s="3">
        <f>B34-D34</f>
      </c>
      <c r="F34" s="3">
        <v>5</v>
      </c>
      <c r="G34" s="3">
        <v>0</v>
      </c>
      <c r="H34" s="4">
        <f>F34/B34</f>
      </c>
    </row>
    <row r="35" spans="1:8" x14ac:dyDescent="0.25">
      <c r="A35" s="2" t="s">
        <v>38</v>
      </c>
      <c r="B35" s="3">
        <v>1</v>
      </c>
      <c r="C35" s="3"/>
      <c r="D35" s="3">
        <f>F35+G35</f>
      </c>
      <c r="E35" s="3">
        <f>B35-D35</f>
      </c>
      <c r="F35" s="3">
        <v>1</v>
      </c>
      <c r="G35" s="3">
        <v>0</v>
      </c>
      <c r="H35" s="4">
        <f>F35/B35</f>
      </c>
    </row>
    <row r="36" spans="1:8" x14ac:dyDescent="0.25">
      <c r="A36" s="5" t="s">
        <v>12</v>
      </c>
      <c r="B36" s="6">
        <f>SUM(B29:B35)</f>
      </c>
      <c r="C36" s="5"/>
      <c r="D36" s="6">
        <f>SUM(D29:D35)</f>
      </c>
      <c r="E36" s="6">
        <f>SUM(E29:E35)</f>
      </c>
      <c r="F36" s="6">
        <f>SUM(F29:F35)</f>
      </c>
      <c r="G36" s="6">
        <f>SUM(G29:G35)</f>
      </c>
      <c r="H36" s="7">
        <f>F36/B36</f>
      </c>
    </row>
    <row r="37" spans="1:8" x14ac:dyDescent="0.25">
      <c r="A37" s="2" t="s">
        <v>39</v>
      </c>
      <c r="B37" s="3">
        <v>32</v>
      </c>
      <c r="C37" s="3"/>
      <c r="D37" s="3">
        <f>F37+G37</f>
      </c>
      <c r="E37" s="3">
        <f>B37-D37</f>
      </c>
      <c r="F37" s="3">
        <v>7</v>
      </c>
      <c r="G37" s="3">
        <v>0</v>
      </c>
      <c r="H37" s="4">
        <f>F37/B37</f>
      </c>
    </row>
    <row r="38" spans="1:8" x14ac:dyDescent="0.25">
      <c r="A38" s="2" t="s">
        <v>40</v>
      </c>
      <c r="B38" s="3">
        <v>37</v>
      </c>
      <c r="C38" s="3"/>
      <c r="D38" s="3">
        <f>F38+G38</f>
      </c>
      <c r="E38" s="3">
        <f>B38-D38</f>
      </c>
      <c r="F38" s="3">
        <v>12</v>
      </c>
      <c r="G38" s="3">
        <v>0</v>
      </c>
      <c r="H38" s="4">
        <f>F38/B38</f>
      </c>
    </row>
    <row r="39" spans="1:8" x14ac:dyDescent="0.25">
      <c r="A39" s="2" t="s">
        <v>41</v>
      </c>
      <c r="B39" s="3">
        <v>26</v>
      </c>
      <c r="C39" s="3"/>
      <c r="D39" s="3">
        <f>F39+G39</f>
      </c>
      <c r="E39" s="3">
        <f>B39-D39</f>
      </c>
      <c r="F39" s="3">
        <v>6</v>
      </c>
      <c r="G39" s="3">
        <v>0</v>
      </c>
      <c r="H39" s="4">
        <f>F39/B39</f>
      </c>
    </row>
    <row r="40" spans="1:8" x14ac:dyDescent="0.25">
      <c r="A40" s="2" t="s">
        <v>42</v>
      </c>
      <c r="B40" s="3">
        <v>32</v>
      </c>
      <c r="C40" s="3"/>
      <c r="D40" s="3">
        <f>F40+G40</f>
      </c>
      <c r="E40" s="3">
        <f>B40-D40</f>
      </c>
      <c r="F40" s="3">
        <v>20</v>
      </c>
      <c r="G40" s="3">
        <v>0</v>
      </c>
      <c r="H40" s="4">
        <f>F40/B40</f>
      </c>
    </row>
    <row r="41" spans="1:8" x14ac:dyDescent="0.25">
      <c r="A41" s="2" t="s">
        <v>43</v>
      </c>
      <c r="B41" s="3">
        <v>20</v>
      </c>
      <c r="C41" s="3"/>
      <c r="D41" s="3">
        <f>F41+G41</f>
      </c>
      <c r="E41" s="3">
        <f>B41-D41</f>
      </c>
      <c r="F41" s="3">
        <v>8</v>
      </c>
      <c r="G41" s="3">
        <v>0</v>
      </c>
      <c r="H41" s="4">
        <f>F41/B41</f>
      </c>
    </row>
    <row r="42" spans="1:8" x14ac:dyDescent="0.25">
      <c r="A42" s="5" t="s">
        <v>12</v>
      </c>
      <c r="B42" s="6">
        <f>SUM(B37:B41)</f>
      </c>
      <c r="C42" s="5"/>
      <c r="D42" s="6">
        <f>SUM(D37:D41)</f>
      </c>
      <c r="E42" s="6">
        <f>SUM(E37:E41)</f>
      </c>
      <c r="F42" s="6">
        <f>SUM(F37:F41)</f>
      </c>
      <c r="G42" s="6">
        <f>SUM(G37:G41)</f>
      </c>
      <c r="H42" s="7">
        <f>F42/B42</f>
      </c>
    </row>
    <row r="43" spans="1:8" x14ac:dyDescent="0.25">
      <c r="A43" s="2" t="s">
        <v>44</v>
      </c>
      <c r="B43" s="3" t="s">
        <v>45</v>
      </c>
      <c r="C43" s="3">
        <v>18</v>
      </c>
      <c r="D43" s="3">
        <f>F43+G43</f>
      </c>
      <c r="E43" s="3">
        <f>C43-D43</f>
      </c>
      <c r="F43" s="3">
        <v>1</v>
      </c>
      <c r="G43" s="3">
        <v>0</v>
      </c>
      <c r="H43" s="4">
        <f>F43/C43</f>
      </c>
    </row>
    <row r="44" spans="1:8" x14ac:dyDescent="0.25">
      <c r="A44" s="2" t="s">
        <v>46</v>
      </c>
      <c r="B44" s="3" t="s">
        <v>47</v>
      </c>
      <c r="C44" s="3">
        <v>21</v>
      </c>
      <c r="D44" s="3">
        <f>F44+G44</f>
      </c>
      <c r="E44" s="3">
        <f>C44-D44</f>
      </c>
      <c r="F44" s="3">
        <v>1</v>
      </c>
      <c r="G44" s="3">
        <v>0</v>
      </c>
      <c r="H44" s="4">
        <f>F44/C44</f>
      </c>
    </row>
    <row r="45" spans="1:8" x14ac:dyDescent="0.25">
      <c r="A45" s="2" t="s">
        <v>48</v>
      </c>
      <c r="B45" s="3">
        <v>14</v>
      </c>
      <c r="C45" s="3"/>
      <c r="D45" s="3">
        <f>F45+G45</f>
      </c>
      <c r="E45" s="3">
        <f>B45-D45</f>
      </c>
      <c r="F45" s="3">
        <v>3</v>
      </c>
      <c r="G45" s="3">
        <v>0</v>
      </c>
      <c r="H45" s="4">
        <f>F45/B45</f>
      </c>
    </row>
    <row r="46" spans="1:8" x14ac:dyDescent="0.25">
      <c r="A46" s="2" t="s">
        <v>49</v>
      </c>
      <c r="B46" s="3">
        <v>10</v>
      </c>
      <c r="C46" s="3"/>
      <c r="D46" s="3">
        <f>F46+G46</f>
      </c>
      <c r="E46" s="3">
        <f>B46-D46</f>
      </c>
      <c r="F46" s="3">
        <v>1</v>
      </c>
      <c r="G46" s="3">
        <v>0</v>
      </c>
      <c r="H46" s="4">
        <f>F46/B46</f>
      </c>
    </row>
    <row r="47" spans="1:8" x14ac:dyDescent="0.25">
      <c r="A47" s="2" t="s">
        <v>50</v>
      </c>
      <c r="B47" s="3">
        <v>8</v>
      </c>
      <c r="C47" s="3"/>
      <c r="D47" s="3">
        <f>F47+G47</f>
      </c>
      <c r="E47" s="3">
        <f>B47-D47</f>
      </c>
      <c r="F47" s="3">
        <v>2</v>
      </c>
      <c r="G47" s="3">
        <v>0</v>
      </c>
      <c r="H47" s="4">
        <f>F47/B47</f>
      </c>
    </row>
    <row r="48" spans="1:8" x14ac:dyDescent="0.25">
      <c r="A48" s="5" t="s">
        <v>12</v>
      </c>
      <c r="B48" s="6">
        <f>SUM(B43:B47)</f>
      </c>
      <c r="C48" s="5"/>
      <c r="D48" s="6">
        <f>SUM(D43:D47)</f>
      </c>
      <c r="E48" s="6">
        <f>SUM(E43:E47)</f>
      </c>
      <c r="F48" s="6">
        <f>SUM(F43:F47)</f>
      </c>
      <c r="G48" s="6">
        <f>SUM(G43:G47)</f>
      </c>
      <c r="H48" s="7">
        <f>F48/B48</f>
      </c>
    </row>
    <row r="49" spans="1:8" x14ac:dyDescent="0.25">
      <c r="A49" s="5" t="s">
        <v>51</v>
      </c>
      <c r="B49" s="6">
        <f>SUM(B6,B12,B17,B24,B28,B36,B42,B48)</f>
      </c>
      <c r="C49" s="5"/>
      <c r="D49" s="6">
        <f>SUM(D6,D12,D17,D24,D28,D36,D42,D48)</f>
      </c>
      <c r="E49" s="6">
        <f>SUM(E6,E12,E17,E24,E28,E36,E42,E48)</f>
      </c>
      <c r="F49" s="6">
        <f>SUM(F6,F12,F17,F24,F28,F36,F42,F48)</f>
      </c>
      <c r="G49" s="6">
        <f>SUM(G6,G12,G17,G24,G28,G36,G42,G48)</f>
      </c>
      <c r="H49" s="7">
        <f>F49/B49</f>
      </c>
    </row>
    <row r="50" spans="1:8" x14ac:dyDescent="0.25">
      <c r="A50" s="2" t="s">
        <v>52</v>
      </c>
      <c r="B50" s="3">
        <v>9</v>
      </c>
      <c r="C50" s="3"/>
      <c r="D50" s="3">
        <f>F50+G50</f>
      </c>
      <c r="E50" s="3">
        <f>B50-D50</f>
      </c>
      <c r="F50" s="3">
        <v>1</v>
      </c>
      <c r="G50" s="3">
        <v>0</v>
      </c>
      <c r="H50" s="4">
        <f>F50/B50</f>
      </c>
    </row>
    <row r="51" spans="1:8" x14ac:dyDescent="0.25">
      <c r="A51" s="2" t="s">
        <v>53</v>
      </c>
      <c r="B51" s="3">
        <v>23</v>
      </c>
      <c r="C51" s="3"/>
      <c r="D51" s="3">
        <f>F51+G51</f>
      </c>
      <c r="E51" s="3">
        <f>B51-D51</f>
      </c>
      <c r="F51" s="3">
        <v>13</v>
      </c>
      <c r="G51" s="3">
        <v>0</v>
      </c>
      <c r="H51" s="4">
        <f>F51/B51</f>
      </c>
    </row>
    <row r="52" spans="1:8" x14ac:dyDescent="0.25">
      <c r="A52" s="2" t="s">
        <v>54</v>
      </c>
      <c r="B52" s="3">
        <v>22</v>
      </c>
      <c r="C52" s="3"/>
      <c r="D52" s="3">
        <f>F52+G52</f>
      </c>
      <c r="E52" s="3">
        <f>B52-D52</f>
      </c>
      <c r="F52" s="3">
        <v>6</v>
      </c>
      <c r="G52" s="3">
        <v>0</v>
      </c>
      <c r="H52" s="4">
        <f>F52/B52</f>
      </c>
    </row>
    <row r="53" spans="1:8" x14ac:dyDescent="0.25">
      <c r="A53" s="2" t="s">
        <v>55</v>
      </c>
      <c r="B53" s="3">
        <v>19</v>
      </c>
      <c r="C53" s="3"/>
      <c r="D53" s="3">
        <f>F53+G53</f>
      </c>
      <c r="E53" s="3">
        <f>B53-D53</f>
      </c>
      <c r="F53" s="3">
        <v>2</v>
      </c>
      <c r="G53" s="3">
        <v>0</v>
      </c>
      <c r="H53" s="4">
        <f>F53/B53</f>
      </c>
    </row>
    <row r="54" spans="1:8" x14ac:dyDescent="0.25">
      <c r="A54" s="5" t="s">
        <v>12</v>
      </c>
      <c r="B54" s="6">
        <f>SUM(B50:B53)</f>
      </c>
      <c r="C54" s="5"/>
      <c r="D54" s="6">
        <f>SUM(D50:D53)</f>
      </c>
      <c r="E54" s="6">
        <f>SUM(E50:E53)</f>
      </c>
      <c r="F54" s="6">
        <f>SUM(F50:F53)</f>
      </c>
      <c r="G54" s="6">
        <f>SUM(G50:G53)</f>
      </c>
      <c r="H54" s="7">
        <f>F54/B54</f>
      </c>
    </row>
    <row r="55" spans="1:8" x14ac:dyDescent="0.25">
      <c r="A55" s="2" t="s">
        <v>56</v>
      </c>
      <c r="B55" s="3">
        <v>10</v>
      </c>
      <c r="C55" s="3"/>
      <c r="D55" s="3">
        <f>F55+G55</f>
      </c>
      <c r="E55" s="3">
        <f>B55-D55</f>
      </c>
      <c r="F55" s="3">
        <v>2</v>
      </c>
      <c r="G55" s="3">
        <v>0</v>
      </c>
      <c r="H55" s="4">
        <f>F55/B55</f>
      </c>
    </row>
    <row r="56" spans="1:8" x14ac:dyDescent="0.25">
      <c r="A56" s="2" t="s">
        <v>57</v>
      </c>
      <c r="B56" s="3">
        <v>36</v>
      </c>
      <c r="C56" s="3"/>
      <c r="D56" s="3">
        <f>F56+G56</f>
      </c>
      <c r="E56" s="3">
        <f>B56-D56</f>
      </c>
      <c r="F56" s="3">
        <v>15</v>
      </c>
      <c r="G56" s="3">
        <v>0</v>
      </c>
      <c r="H56" s="4">
        <f>F56/B56</f>
      </c>
    </row>
    <row r="57" spans="1:8" x14ac:dyDescent="0.25">
      <c r="A57" s="2" t="s">
        <v>58</v>
      </c>
      <c r="B57" s="3">
        <v>12</v>
      </c>
      <c r="C57" s="3"/>
      <c r="D57" s="3">
        <f>F57+G57</f>
      </c>
      <c r="E57" s="3">
        <f>B57-D57</f>
      </c>
      <c r="F57" s="3">
        <v>2</v>
      </c>
      <c r="G57" s="3">
        <v>0</v>
      </c>
      <c r="H57" s="4">
        <f>F57/B57</f>
      </c>
    </row>
    <row r="58" spans="1:8" x14ac:dyDescent="0.25">
      <c r="A58" s="2" t="s">
        <v>59</v>
      </c>
      <c r="B58" s="3" t="s">
        <v>60</v>
      </c>
      <c r="C58" s="3">
        <v>16</v>
      </c>
      <c r="D58" s="3">
        <f>F58+G58</f>
      </c>
      <c r="E58" s="3">
        <f>C58-D58</f>
      </c>
      <c r="F58" s="3">
        <v>7</v>
      </c>
      <c r="G58" s="3">
        <v>0</v>
      </c>
      <c r="H58" s="4">
        <f>F58/C58</f>
      </c>
    </row>
    <row r="59" spans="1:8" x14ac:dyDescent="0.25">
      <c r="A59" s="5" t="s">
        <v>12</v>
      </c>
      <c r="B59" s="6">
        <f>SUM(B55:B58)</f>
      </c>
      <c r="C59" s="5"/>
      <c r="D59" s="6">
        <f>SUM(D55:D58)</f>
      </c>
      <c r="E59" s="6">
        <f>SUM(E55:E58)</f>
      </c>
      <c r="F59" s="6">
        <f>SUM(F55:F58)</f>
      </c>
      <c r="G59" s="6">
        <f>SUM(G55:G58)</f>
      </c>
      <c r="H59" s="7">
        <f>F59/B59</f>
      </c>
    </row>
    <row r="60" spans="1:8" x14ac:dyDescent="0.25">
      <c r="A60" s="2" t="s">
        <v>61</v>
      </c>
      <c r="B60" s="3">
        <v>32</v>
      </c>
      <c r="C60" s="3"/>
      <c r="D60" s="3">
        <f>F60+G60</f>
      </c>
      <c r="E60" s="3">
        <f>B60-D60</f>
      </c>
      <c r="F60" s="3">
        <v>15</v>
      </c>
      <c r="G60" s="3">
        <v>0</v>
      </c>
      <c r="H60" s="4">
        <f>F60/B60</f>
      </c>
    </row>
    <row r="61" spans="1:8" x14ac:dyDescent="0.25">
      <c r="A61" s="2" t="s">
        <v>62</v>
      </c>
      <c r="B61" s="3" t="s">
        <v>63</v>
      </c>
      <c r="C61" s="3">
        <v>19</v>
      </c>
      <c r="D61" s="3">
        <f>F61+G61</f>
      </c>
      <c r="E61" s="3">
        <f>C61-D61</f>
      </c>
      <c r="F61" s="3">
        <v>7</v>
      </c>
      <c r="G61" s="3">
        <v>0</v>
      </c>
      <c r="H61" s="4">
        <f>F61/C61</f>
      </c>
    </row>
    <row r="62" spans="1:8" x14ac:dyDescent="0.25">
      <c r="A62" s="5" t="s">
        <v>12</v>
      </c>
      <c r="B62" s="6">
        <f>SUM(B60:B61)</f>
      </c>
      <c r="C62" s="5"/>
      <c r="D62" s="6">
        <f>SUM(D60:D61)</f>
      </c>
      <c r="E62" s="6">
        <f>SUM(E60:E61)</f>
      </c>
      <c r="F62" s="6">
        <f>SUM(F60:F61)</f>
      </c>
      <c r="G62" s="6">
        <f>SUM(G60:G61)</f>
      </c>
      <c r="H62" s="7">
        <f>F62/B62</f>
      </c>
    </row>
    <row r="63" spans="1:8" x14ac:dyDescent="0.25">
      <c r="A63" s="2" t="s">
        <v>64</v>
      </c>
      <c r="B63" s="3">
        <v>20</v>
      </c>
      <c r="C63" s="3"/>
      <c r="D63" s="3">
        <f>F63+G63</f>
      </c>
      <c r="E63" s="3">
        <f>B63-D63</f>
      </c>
      <c r="F63" s="3">
        <v>6</v>
      </c>
      <c r="G63" s="3">
        <v>0</v>
      </c>
      <c r="H63" s="4">
        <f>F63/B63</f>
      </c>
    </row>
    <row r="64" spans="1:8" x14ac:dyDescent="0.25">
      <c r="A64" s="2" t="s">
        <v>65</v>
      </c>
      <c r="B64" s="3">
        <v>35</v>
      </c>
      <c r="C64" s="3"/>
      <c r="D64" s="3">
        <f>F64+G64</f>
      </c>
      <c r="E64" s="3">
        <f>B64-D64</f>
      </c>
      <c r="F64" s="3">
        <v>14</v>
      </c>
      <c r="G64" s="3">
        <v>0</v>
      </c>
      <c r="H64" s="4">
        <f>F64/B64</f>
      </c>
    </row>
    <row r="65" spans="1:8" x14ac:dyDescent="0.25">
      <c r="A65" s="2" t="s">
        <v>66</v>
      </c>
      <c r="B65" s="3">
        <v>9</v>
      </c>
      <c r="C65" s="3"/>
      <c r="D65" s="3">
        <f>F65+G65</f>
      </c>
      <c r="E65" s="3">
        <f>B65-D65</f>
      </c>
      <c r="F65" s="3">
        <v>2</v>
      </c>
      <c r="G65" s="3">
        <v>0</v>
      </c>
      <c r="H65" s="4">
        <f>F65/B65</f>
      </c>
    </row>
    <row r="66" spans="1:8" x14ac:dyDescent="0.25">
      <c r="A66" s="2" t="s">
        <v>67</v>
      </c>
      <c r="B66" s="3">
        <v>9</v>
      </c>
      <c r="C66" s="3"/>
      <c r="D66" s="3">
        <f>F66+G66</f>
      </c>
      <c r="E66" s="3">
        <f>B66-D66</f>
      </c>
      <c r="F66" s="3">
        <v>2</v>
      </c>
      <c r="G66" s="3">
        <v>0</v>
      </c>
      <c r="H66" s="4">
        <f>F66/B66</f>
      </c>
    </row>
    <row r="67" spans="1:8" x14ac:dyDescent="0.25">
      <c r="A67" s="2" t="s">
        <v>68</v>
      </c>
      <c r="B67" s="3">
        <v>8</v>
      </c>
      <c r="C67" s="3"/>
      <c r="D67" s="3">
        <f>F67+G67</f>
      </c>
      <c r="E67" s="3">
        <f>B67-D67</f>
      </c>
      <c r="F67" s="3">
        <v>4</v>
      </c>
      <c r="G67" s="3">
        <v>0</v>
      </c>
      <c r="H67" s="4">
        <f>F67/B67</f>
      </c>
    </row>
    <row r="68" spans="1:8" x14ac:dyDescent="0.25">
      <c r="A68" s="2" t="s">
        <v>69</v>
      </c>
      <c r="B68" s="3">
        <v>17</v>
      </c>
      <c r="C68" s="3"/>
      <c r="D68" s="3">
        <f>F68+G68</f>
      </c>
      <c r="E68" s="3">
        <f>B68-D68</f>
      </c>
      <c r="F68" s="3">
        <v>5</v>
      </c>
      <c r="G68" s="3">
        <v>0</v>
      </c>
      <c r="H68" s="4">
        <f>F68/B68</f>
      </c>
    </row>
    <row r="69" spans="1:8" x14ac:dyDescent="0.25">
      <c r="A69" s="5" t="s">
        <v>12</v>
      </c>
      <c r="B69" s="6">
        <f>SUM(B63:B68)</f>
      </c>
      <c r="C69" s="5"/>
      <c r="D69" s="6">
        <f>SUM(D63:D68)</f>
      </c>
      <c r="E69" s="6">
        <f>SUM(E63:E68)</f>
      </c>
      <c r="F69" s="6">
        <f>SUM(F63:F68)</f>
      </c>
      <c r="G69" s="6">
        <f>SUM(G63:G68)</f>
      </c>
      <c r="H69" s="7">
        <f>F69/B69</f>
      </c>
    </row>
    <row r="70" spans="1:8" x14ac:dyDescent="0.25">
      <c r="A70" s="2" t="s">
        <v>70</v>
      </c>
      <c r="B70" s="3">
        <v>9</v>
      </c>
      <c r="C70" s="3"/>
      <c r="D70" s="3">
        <f>F70+G70</f>
      </c>
      <c r="E70" s="3">
        <f>B70-D70</f>
      </c>
      <c r="F70" s="3">
        <v>3</v>
      </c>
      <c r="G70" s="3">
        <v>0</v>
      </c>
      <c r="H70" s="4">
        <f>F70/B70</f>
      </c>
    </row>
    <row r="71" spans="1:8" x14ac:dyDescent="0.25">
      <c r="A71" s="2" t="s">
        <v>71</v>
      </c>
      <c r="B71" s="3" t="s">
        <v>72</v>
      </c>
      <c r="C71" s="3">
        <v>14</v>
      </c>
      <c r="D71" s="3">
        <f>F71+G71</f>
      </c>
      <c r="E71" s="3">
        <f>C71-D71</f>
      </c>
      <c r="F71" s="3">
        <v>4</v>
      </c>
      <c r="G71" s="3">
        <v>0</v>
      </c>
      <c r="H71" s="4">
        <f>F71/C71</f>
      </c>
    </row>
    <row r="72" spans="1:8" x14ac:dyDescent="0.25">
      <c r="A72" s="5" t="s">
        <v>12</v>
      </c>
      <c r="B72" s="6">
        <f>SUM(B70:B71)</f>
      </c>
      <c r="C72" s="5"/>
      <c r="D72" s="6">
        <f>SUM(D70:D71)</f>
      </c>
      <c r="E72" s="6">
        <f>SUM(E70:E71)</f>
      </c>
      <c r="F72" s="6">
        <f>SUM(F70:F71)</f>
      </c>
      <c r="G72" s="6">
        <f>SUM(G70:G71)</f>
      </c>
      <c r="H72" s="7">
        <f>F72/B72</f>
      </c>
    </row>
    <row r="73" spans="1:8" x14ac:dyDescent="0.25">
      <c r="A73" s="5" t="s">
        <v>73</v>
      </c>
      <c r="B73" s="6">
        <f>SUM(B54,B59,B62,B69,B72)</f>
      </c>
      <c r="C73" s="5"/>
      <c r="D73" s="6">
        <f>SUM(D54,D59,D62,D69,D72)</f>
      </c>
      <c r="E73" s="6">
        <f>SUM(E54,E59,E62,E69,E72)</f>
      </c>
      <c r="F73" s="6">
        <f>SUM(F54,F59,F62,F69,F72)</f>
      </c>
      <c r="G73" s="6">
        <f>SUM(G54,G59,G62,G69,G72)</f>
      </c>
      <c r="H73" s="7">
        <f>F73/B73</f>
      </c>
    </row>
    <row r="74" spans="1:8" x14ac:dyDescent="0.25">
      <c r="A74" s="2" t="s">
        <v>74</v>
      </c>
      <c r="B74" s="3">
        <v>15</v>
      </c>
      <c r="C74" s="3"/>
      <c r="D74" s="3">
        <f>F74+G74</f>
      </c>
      <c r="E74" s="3">
        <f>B74-D74</f>
      </c>
      <c r="F74" s="3">
        <v>12</v>
      </c>
      <c r="G74" s="3">
        <v>0</v>
      </c>
      <c r="H74" s="4">
        <f>F74/B74</f>
      </c>
    </row>
    <row r="75" spans="1:8" x14ac:dyDescent="0.25">
      <c r="A75" s="2" t="s">
        <v>75</v>
      </c>
      <c r="B75" s="3">
        <v>12</v>
      </c>
      <c r="C75" s="3"/>
      <c r="D75" s="3">
        <f>F75+G75</f>
      </c>
      <c r="E75" s="3">
        <f>B75-D75</f>
      </c>
      <c r="F75" s="3">
        <v>11</v>
      </c>
      <c r="G75" s="3">
        <v>0</v>
      </c>
      <c r="H75" s="4">
        <f>F75/B75</f>
      </c>
    </row>
    <row r="76" spans="1:8" x14ac:dyDescent="0.25">
      <c r="A76" s="2" t="s">
        <v>76</v>
      </c>
      <c r="B76" s="3">
        <v>18</v>
      </c>
      <c r="C76" s="3"/>
      <c r="D76" s="3">
        <f>F76+G76</f>
      </c>
      <c r="E76" s="3">
        <f>B76-D76</f>
      </c>
      <c r="F76" s="3">
        <v>13</v>
      </c>
      <c r="G76" s="3">
        <v>0</v>
      </c>
      <c r="H76" s="4">
        <f>F76/B76</f>
      </c>
    </row>
    <row r="77" spans="1:8" x14ac:dyDescent="0.25">
      <c r="A77" s="2" t="s">
        <v>77</v>
      </c>
      <c r="B77" s="3">
        <v>38</v>
      </c>
      <c r="C77" s="3"/>
      <c r="D77" s="3">
        <f>F77+G77</f>
      </c>
      <c r="E77" s="3">
        <f>B77-D77</f>
      </c>
      <c r="F77" s="3">
        <v>17</v>
      </c>
      <c r="G77" s="3">
        <v>0</v>
      </c>
      <c r="H77" s="4">
        <f>F77/B77</f>
      </c>
    </row>
    <row r="78" spans="1:8" x14ac:dyDescent="0.25">
      <c r="A78" s="2" t="s">
        <v>78</v>
      </c>
      <c r="B78" s="3">
        <v>16</v>
      </c>
      <c r="C78" s="3"/>
      <c r="D78" s="3">
        <f>F78+G78</f>
      </c>
      <c r="E78" s="3">
        <f>B78-D78</f>
      </c>
      <c r="F78" s="3">
        <v>14</v>
      </c>
      <c r="G78" s="3">
        <v>0</v>
      </c>
      <c r="H78" s="4">
        <f>F78/B78</f>
      </c>
    </row>
    <row r="79" spans="1:8" x14ac:dyDescent="0.25">
      <c r="A79" s="2" t="s">
        <v>79</v>
      </c>
      <c r="B79" s="3">
        <v>19</v>
      </c>
      <c r="C79" s="3"/>
      <c r="D79" s="3">
        <f>F79+G79</f>
      </c>
      <c r="E79" s="3">
        <f>B79-D79</f>
      </c>
      <c r="F79" s="3">
        <v>12</v>
      </c>
      <c r="G79" s="3">
        <v>0</v>
      </c>
      <c r="H79" s="4">
        <f>F79/B79</f>
      </c>
    </row>
    <row r="80" spans="1:8" x14ac:dyDescent="0.25">
      <c r="A80" s="2" t="s">
        <v>80</v>
      </c>
      <c r="B80" s="3">
        <v>17</v>
      </c>
      <c r="C80" s="3"/>
      <c r="D80" s="3">
        <f>F80+G80</f>
      </c>
      <c r="E80" s="3">
        <f>B80-D80</f>
      </c>
      <c r="F80" s="3">
        <v>16</v>
      </c>
      <c r="G80" s="3">
        <v>0</v>
      </c>
      <c r="H80" s="4">
        <f>F80/B80</f>
      </c>
    </row>
    <row r="81" spans="1:8" x14ac:dyDescent="0.25">
      <c r="A81" s="5" t="s">
        <v>12</v>
      </c>
      <c r="B81" s="6">
        <f>SUM(B74:B80)</f>
      </c>
      <c r="C81" s="5"/>
      <c r="D81" s="6">
        <f>SUM(D74:D80)</f>
      </c>
      <c r="E81" s="6">
        <f>SUM(E74:E80)</f>
      </c>
      <c r="F81" s="6">
        <f>SUM(F74:F80)</f>
      </c>
      <c r="G81" s="6">
        <f>SUM(G74:G80)</f>
      </c>
      <c r="H81" s="7">
        <f>F81/B81</f>
      </c>
    </row>
    <row r="82" spans="1:8" x14ac:dyDescent="0.25">
      <c r="A82" s="2" t="s">
        <v>81</v>
      </c>
      <c r="B82" s="3">
        <v>28</v>
      </c>
      <c r="C82" s="3"/>
      <c r="D82" s="3">
        <f>F82+G82</f>
      </c>
      <c r="E82" s="3">
        <f>B82-D82</f>
      </c>
      <c r="F82" s="3">
        <v>22</v>
      </c>
      <c r="G82" s="3">
        <v>0</v>
      </c>
      <c r="H82" s="4">
        <f>F82/B82</f>
      </c>
    </row>
    <row r="83" spans="1:8" x14ac:dyDescent="0.25">
      <c r="A83" s="2" t="s">
        <v>82</v>
      </c>
      <c r="B83" s="3">
        <v>12</v>
      </c>
      <c r="C83" s="3"/>
      <c r="D83" s="3">
        <f>F83+G83</f>
      </c>
      <c r="E83" s="3">
        <f>B83-D83</f>
      </c>
      <c r="F83" s="3">
        <v>12</v>
      </c>
      <c r="G83" s="3">
        <v>0</v>
      </c>
      <c r="H83" s="4">
        <f>F83/B83</f>
      </c>
    </row>
    <row r="84" spans="1:8" x14ac:dyDescent="0.25">
      <c r="A84" s="2" t="s">
        <v>83</v>
      </c>
      <c r="B84" s="3">
        <v>24</v>
      </c>
      <c r="C84" s="3"/>
      <c r="D84" s="3">
        <f>F84+G84</f>
      </c>
      <c r="E84" s="3">
        <f>B84-D84</f>
      </c>
      <c r="F84" s="3">
        <v>21</v>
      </c>
      <c r="G84" s="3">
        <v>0</v>
      </c>
      <c r="H84" s="4">
        <f>F84/B84</f>
      </c>
    </row>
    <row r="85" spans="1:8" x14ac:dyDescent="0.25">
      <c r="A85" s="2" t="s">
        <v>84</v>
      </c>
      <c r="B85" s="3">
        <v>12</v>
      </c>
      <c r="C85" s="3"/>
      <c r="D85" s="3">
        <f>F85+G85</f>
      </c>
      <c r="E85" s="3">
        <f>B85-D85</f>
      </c>
      <c r="F85" s="3">
        <v>7</v>
      </c>
      <c r="G85" s="3">
        <v>0</v>
      </c>
      <c r="H85" s="4">
        <f>F85/B85</f>
      </c>
    </row>
    <row r="86" spans="1:8" x14ac:dyDescent="0.25">
      <c r="A86" s="2" t="s">
        <v>85</v>
      </c>
      <c r="B86" s="3" t="s">
        <v>86</v>
      </c>
      <c r="C86" s="3">
        <v>31</v>
      </c>
      <c r="D86" s="3">
        <f>F86+G86</f>
      </c>
      <c r="E86" s="3">
        <f>C86-D86</f>
      </c>
      <c r="F86" s="3">
        <v>19</v>
      </c>
      <c r="G86" s="3">
        <v>0</v>
      </c>
      <c r="H86" s="4">
        <f>F86/C86</f>
      </c>
    </row>
    <row r="87" spans="1:8" x14ac:dyDescent="0.25">
      <c r="A87" s="5" t="s">
        <v>12</v>
      </c>
      <c r="B87" s="6">
        <f>SUM(B82:B86)</f>
      </c>
      <c r="C87" s="5"/>
      <c r="D87" s="6">
        <f>SUM(D82:D86)</f>
      </c>
      <c r="E87" s="6">
        <f>SUM(E82:E86)</f>
      </c>
      <c r="F87" s="6">
        <f>SUM(F82:F86)</f>
      </c>
      <c r="G87" s="6">
        <f>SUM(G82:G86)</f>
      </c>
      <c r="H87" s="7">
        <f>F87/B87</f>
      </c>
    </row>
    <row r="88" spans="1:8" x14ac:dyDescent="0.25">
      <c r="A88" s="2" t="s">
        <v>87</v>
      </c>
      <c r="B88" s="3">
        <v>12</v>
      </c>
      <c r="C88" s="3"/>
      <c r="D88" s="3">
        <f>F88+G88</f>
      </c>
      <c r="E88" s="3">
        <f>B88-D88</f>
      </c>
      <c r="F88" s="3">
        <v>9</v>
      </c>
      <c r="G88" s="3">
        <v>0</v>
      </c>
      <c r="H88" s="4">
        <f>F88/B88</f>
      </c>
    </row>
    <row r="89" spans="1:8" x14ac:dyDescent="0.25">
      <c r="A89" s="2" t="s">
        <v>88</v>
      </c>
      <c r="B89" s="3">
        <v>19</v>
      </c>
      <c r="C89" s="3"/>
      <c r="D89" s="3">
        <f>F89+G89</f>
      </c>
      <c r="E89" s="3">
        <f>B89-D89</f>
      </c>
      <c r="F89" s="3">
        <v>11</v>
      </c>
      <c r="G89" s="3">
        <v>0</v>
      </c>
      <c r="H89" s="4">
        <f>F89/B89</f>
      </c>
    </row>
    <row r="90" spans="1:8" x14ac:dyDescent="0.25">
      <c r="A90" s="2" t="s">
        <v>89</v>
      </c>
      <c r="B90" s="3">
        <v>21</v>
      </c>
      <c r="C90" s="3"/>
      <c r="D90" s="3">
        <f>F90+G90</f>
      </c>
      <c r="E90" s="3">
        <f>B90-D90</f>
      </c>
      <c r="F90" s="3">
        <v>19</v>
      </c>
      <c r="G90" s="3">
        <v>0</v>
      </c>
      <c r="H90" s="4">
        <f>F90/B90</f>
      </c>
    </row>
    <row r="91" spans="1:8" x14ac:dyDescent="0.25">
      <c r="A91" s="2" t="s">
        <v>90</v>
      </c>
      <c r="B91" s="3">
        <v>26</v>
      </c>
      <c r="C91" s="3"/>
      <c r="D91" s="3">
        <f>F91+G91</f>
      </c>
      <c r="E91" s="3">
        <f>B91-D91</f>
      </c>
      <c r="F91" s="3">
        <v>21</v>
      </c>
      <c r="G91" s="3">
        <v>0</v>
      </c>
      <c r="H91" s="4">
        <f>F91/B91</f>
      </c>
    </row>
    <row r="92" spans="1:8" x14ac:dyDescent="0.25">
      <c r="A92" s="2" t="s">
        <v>91</v>
      </c>
      <c r="B92" s="3">
        <v>34</v>
      </c>
      <c r="C92" s="3"/>
      <c r="D92" s="3">
        <f>F92+G92</f>
      </c>
      <c r="E92" s="3">
        <f>B92-D92</f>
      </c>
      <c r="F92" s="3">
        <v>23</v>
      </c>
      <c r="G92" s="3">
        <v>0</v>
      </c>
      <c r="H92" s="4">
        <f>F92/B92</f>
      </c>
    </row>
    <row r="93" spans="1:8" x14ac:dyDescent="0.25">
      <c r="A93" s="5" t="s">
        <v>12</v>
      </c>
      <c r="B93" s="6">
        <f>SUM(B88:B92)</f>
      </c>
      <c r="C93" s="5"/>
      <c r="D93" s="6">
        <f>SUM(D88:D92)</f>
      </c>
      <c r="E93" s="6">
        <f>SUM(E88:E92)</f>
      </c>
      <c r="F93" s="6">
        <f>SUM(F88:F92)</f>
      </c>
      <c r="G93" s="6">
        <f>SUM(G88:G92)</f>
      </c>
      <c r="H93" s="7">
        <f>F93/B93</f>
      </c>
    </row>
    <row r="94" spans="1:8" x14ac:dyDescent="0.25">
      <c r="A94" s="2" t="s">
        <v>92</v>
      </c>
      <c r="B94" s="3">
        <v>45</v>
      </c>
      <c r="C94" s="3"/>
      <c r="D94" s="3">
        <f>F94+G94</f>
      </c>
      <c r="E94" s="3">
        <f>B94-D94</f>
      </c>
      <c r="F94" s="3">
        <v>24</v>
      </c>
      <c r="G94" s="3">
        <v>0</v>
      </c>
      <c r="H94" s="4">
        <f>F94/B94</f>
      </c>
    </row>
    <row r="95" spans="1:8" x14ac:dyDescent="0.25">
      <c r="A95" s="2" t="s">
        <v>93</v>
      </c>
      <c r="B95" s="3">
        <v>13</v>
      </c>
      <c r="C95" s="3"/>
      <c r="D95" s="3">
        <f>F95+G95</f>
      </c>
      <c r="E95" s="3">
        <f>B95-D95</f>
      </c>
      <c r="F95" s="3">
        <v>2</v>
      </c>
      <c r="G95" s="3">
        <v>0</v>
      </c>
      <c r="H95" s="4">
        <f>F95/B95</f>
      </c>
    </row>
    <row r="96" spans="1:8" x14ac:dyDescent="0.25">
      <c r="A96" s="2" t="s">
        <v>94</v>
      </c>
      <c r="B96" s="3">
        <v>15</v>
      </c>
      <c r="C96" s="3"/>
      <c r="D96" s="3">
        <f>F96+G96</f>
      </c>
      <c r="E96" s="3">
        <f>B96-D96</f>
      </c>
      <c r="F96" s="3">
        <v>4</v>
      </c>
      <c r="G96" s="3">
        <v>0</v>
      </c>
      <c r="H96" s="4">
        <f>F96/B96</f>
      </c>
    </row>
    <row r="97" spans="1:8" x14ac:dyDescent="0.25">
      <c r="A97" s="5" t="s">
        <v>12</v>
      </c>
      <c r="B97" s="6">
        <f>SUM(B94:B96)</f>
      </c>
      <c r="C97" s="5"/>
      <c r="D97" s="6">
        <f>SUM(D94:D96)</f>
      </c>
      <c r="E97" s="6">
        <f>SUM(E94:E96)</f>
      </c>
      <c r="F97" s="6">
        <f>SUM(F94:F96)</f>
      </c>
      <c r="G97" s="6">
        <f>SUM(G94:G96)</f>
      </c>
      <c r="H97" s="7">
        <f>F97/B97</f>
      </c>
    </row>
    <row r="98" spans="1:8" x14ac:dyDescent="0.25">
      <c r="A98" s="2" t="s">
        <v>95</v>
      </c>
      <c r="B98" s="3">
        <v>28</v>
      </c>
      <c r="C98" s="3"/>
      <c r="D98" s="3">
        <f>F98+G98</f>
      </c>
      <c r="E98" s="3">
        <f>B98-D98</f>
      </c>
      <c r="F98" s="3">
        <v>20</v>
      </c>
      <c r="G98" s="3">
        <v>0</v>
      </c>
      <c r="H98" s="4">
        <f>F98/B98</f>
      </c>
    </row>
    <row r="99" spans="1:8" x14ac:dyDescent="0.25">
      <c r="A99" s="2" t="s">
        <v>96</v>
      </c>
      <c r="B99" s="3">
        <v>39</v>
      </c>
      <c r="C99" s="3"/>
      <c r="D99" s="3">
        <f>F99+G99</f>
      </c>
      <c r="E99" s="3">
        <f>B99-D99</f>
      </c>
      <c r="F99" s="3">
        <v>25</v>
      </c>
      <c r="G99" s="3">
        <v>0</v>
      </c>
      <c r="H99" s="4">
        <f>F99/B99</f>
      </c>
    </row>
    <row r="100" spans="1:8" x14ac:dyDescent="0.25">
      <c r="A100" s="2" t="s">
        <v>97</v>
      </c>
      <c r="B100" s="3">
        <v>35</v>
      </c>
      <c r="C100" s="3"/>
      <c r="D100" s="3">
        <f>F100+G100</f>
      </c>
      <c r="E100" s="3">
        <f>B100-D100</f>
      </c>
      <c r="F100" s="3">
        <v>22</v>
      </c>
      <c r="G100" s="3">
        <v>0</v>
      </c>
      <c r="H100" s="4">
        <f>F100/B100</f>
      </c>
    </row>
    <row r="101" spans="1:8" x14ac:dyDescent="0.25">
      <c r="A101" s="5" t="s">
        <v>12</v>
      </c>
      <c r="B101" s="6">
        <f>SUM(B98:B100)</f>
      </c>
      <c r="C101" s="5"/>
      <c r="D101" s="6">
        <f>SUM(D98:D100)</f>
      </c>
      <c r="E101" s="6">
        <f>SUM(E98:E100)</f>
      </c>
      <c r="F101" s="6">
        <f>SUM(F98:F100)</f>
      </c>
      <c r="G101" s="6">
        <f>SUM(G98:G100)</f>
      </c>
      <c r="H101" s="7">
        <f>F101/B101</f>
      </c>
    </row>
    <row r="102" spans="1:8" x14ac:dyDescent="0.25">
      <c r="A102" s="5" t="s">
        <v>98</v>
      </c>
      <c r="B102" s="6">
        <f>SUM(B81,B87,B93,B97,B101)</f>
      </c>
      <c r="C102" s="5"/>
      <c r="D102" s="6">
        <f>SUM(D81,D87,D93,D97,D101)</f>
      </c>
      <c r="E102" s="6">
        <f>SUM(E81,E87,E93,E97,E101)</f>
      </c>
      <c r="F102" s="6">
        <f>SUM(F81,F87,F93,F97,F101)</f>
      </c>
      <c r="G102" s="6">
        <f>SUM(G81,G87,G93,G97,G101)</f>
      </c>
      <c r="H102" s="7">
        <f>F102/B102</f>
      </c>
    </row>
    <row r="103" spans="1:8" x14ac:dyDescent="0.25">
      <c r="A103" s="2" t="s">
        <v>99</v>
      </c>
      <c r="B103" s="3">
        <v>13</v>
      </c>
      <c r="C103" s="3"/>
      <c r="D103" s="3">
        <f>F103+G103</f>
      </c>
      <c r="E103" s="3">
        <f>B103-D103</f>
      </c>
      <c r="F103" s="3">
        <v>0</v>
      </c>
      <c r="G103" s="3">
        <v>0</v>
      </c>
      <c r="H103" s="4">
        <f>F103/B103</f>
      </c>
    </row>
    <row r="104" spans="1:8" x14ac:dyDescent="0.25">
      <c r="A104" s="2" t="s">
        <v>100</v>
      </c>
      <c r="B104" s="3" t="s">
        <v>101</v>
      </c>
      <c r="C104" s="3">
        <v>40</v>
      </c>
      <c r="D104" s="3">
        <f>F104+G104</f>
      </c>
      <c r="E104" s="3">
        <f>C104-D104</f>
      </c>
      <c r="F104" s="3">
        <v>0</v>
      </c>
      <c r="G104" s="3">
        <v>0</v>
      </c>
      <c r="H104" s="4">
        <f>F104/C104</f>
      </c>
    </row>
    <row r="105" spans="1:8" x14ac:dyDescent="0.25">
      <c r="A105" s="5" t="s">
        <v>12</v>
      </c>
      <c r="B105" s="6">
        <f>SUM(B103:B104)</f>
      </c>
      <c r="C105" s="5"/>
      <c r="D105" s="6">
        <f>SUM(D103:D104)</f>
      </c>
      <c r="E105" s="6">
        <f>SUM(E103:E104)</f>
      </c>
      <c r="F105" s="6">
        <f>SUM(F103:F104)</f>
      </c>
      <c r="G105" s="6">
        <f>SUM(G103:G104)</f>
      </c>
      <c r="H105" s="7">
        <f>F105/B105</f>
      </c>
    </row>
    <row r="106" spans="1:8" x14ac:dyDescent="0.25">
      <c r="A106" s="2" t="s">
        <v>102</v>
      </c>
      <c r="B106" s="3" t="s">
        <v>103</v>
      </c>
      <c r="C106" s="3">
        <v>20</v>
      </c>
      <c r="D106" s="3">
        <f>F106+G106</f>
      </c>
      <c r="E106" s="3">
        <f>C106-D106</f>
      </c>
      <c r="F106" s="3">
        <v>0</v>
      </c>
      <c r="G106" s="3">
        <v>0</v>
      </c>
      <c r="H106" s="4">
        <f>F106/C106</f>
      </c>
    </row>
    <row r="107" spans="1:8" x14ac:dyDescent="0.25">
      <c r="A107" s="2" t="s">
        <v>104</v>
      </c>
      <c r="B107" s="3">
        <v>10</v>
      </c>
      <c r="C107" s="3"/>
      <c r="D107" s="3">
        <f>F107+G107</f>
      </c>
      <c r="E107" s="3">
        <f>B107-D107</f>
      </c>
      <c r="F107" s="3">
        <v>3</v>
      </c>
      <c r="G107" s="3">
        <v>0</v>
      </c>
      <c r="H107" s="4">
        <f>F107/B107</f>
      </c>
    </row>
    <row r="108" spans="1:8" x14ac:dyDescent="0.25">
      <c r="A108" s="2" t="s">
        <v>105</v>
      </c>
      <c r="B108" s="3">
        <v>14</v>
      </c>
      <c r="C108" s="3"/>
      <c r="D108" s="3">
        <f>F108+G108</f>
      </c>
      <c r="E108" s="3">
        <f>B108-D108</f>
      </c>
      <c r="F108" s="3">
        <v>0</v>
      </c>
      <c r="G108" s="3">
        <v>0</v>
      </c>
      <c r="H108" s="4">
        <f>F108/B108</f>
      </c>
    </row>
    <row r="109" spans="1:8" x14ac:dyDescent="0.25">
      <c r="A109" s="2" t="s">
        <v>106</v>
      </c>
      <c r="B109" s="3">
        <v>22</v>
      </c>
      <c r="C109" s="3"/>
      <c r="D109" s="3">
        <f>F109+G109</f>
      </c>
      <c r="E109" s="3">
        <f>B109-D109</f>
      </c>
      <c r="F109" s="3">
        <v>3</v>
      </c>
      <c r="G109" s="3">
        <v>0</v>
      </c>
      <c r="H109" s="4">
        <f>F109/B109</f>
      </c>
    </row>
    <row r="110" spans="1:8" x14ac:dyDescent="0.25">
      <c r="A110" s="5" t="s">
        <v>12</v>
      </c>
      <c r="B110" s="6">
        <f>SUM(B106:B109)</f>
      </c>
      <c r="C110" s="5"/>
      <c r="D110" s="6">
        <f>SUM(D106:D109)</f>
      </c>
      <c r="E110" s="6">
        <f>SUM(E106:E109)</f>
      </c>
      <c r="F110" s="6">
        <f>SUM(F106:F109)</f>
      </c>
      <c r="G110" s="6">
        <f>SUM(G106:G109)</f>
      </c>
      <c r="H110" s="7">
        <f>F110/B110</f>
      </c>
    </row>
    <row r="111" spans="1:8" x14ac:dyDescent="0.25">
      <c r="A111" s="2" t="s">
        <v>107</v>
      </c>
      <c r="B111" s="3">
        <v>18</v>
      </c>
      <c r="C111" s="3"/>
      <c r="D111" s="3">
        <f>F111+G111</f>
      </c>
      <c r="E111" s="3">
        <f>B111-D111</f>
      </c>
      <c r="F111" s="3">
        <v>0</v>
      </c>
      <c r="G111" s="3">
        <v>0</v>
      </c>
      <c r="H111" s="4">
        <f>F111/B111</f>
      </c>
    </row>
    <row r="112" spans="1:8" x14ac:dyDescent="0.25">
      <c r="A112" s="2" t="s">
        <v>108</v>
      </c>
      <c r="B112" s="3">
        <v>13</v>
      </c>
      <c r="C112" s="3"/>
      <c r="D112" s="3">
        <f>F112+G112</f>
      </c>
      <c r="E112" s="3">
        <f>B112-D112</f>
      </c>
      <c r="F112" s="3">
        <v>0</v>
      </c>
      <c r="G112" s="3">
        <v>0</v>
      </c>
      <c r="H112" s="4">
        <f>F112/B112</f>
      </c>
    </row>
    <row r="113" spans="1:8" x14ac:dyDescent="0.25">
      <c r="A113" s="2" t="s">
        <v>109</v>
      </c>
      <c r="B113" s="3">
        <v>14</v>
      </c>
      <c r="C113" s="3"/>
      <c r="D113" s="3">
        <f>F113+G113</f>
      </c>
      <c r="E113" s="3">
        <f>B113-D113</f>
      </c>
      <c r="F113" s="3">
        <v>0</v>
      </c>
      <c r="G113" s="3">
        <v>0</v>
      </c>
      <c r="H113" s="4">
        <f>F113/B113</f>
      </c>
    </row>
    <row r="114" spans="1:8" x14ac:dyDescent="0.25">
      <c r="A114" s="2" t="s">
        <v>110</v>
      </c>
      <c r="B114" s="3">
        <v>34</v>
      </c>
      <c r="C114" s="3"/>
      <c r="D114" s="3">
        <f>F114+G114</f>
      </c>
      <c r="E114" s="3">
        <f>B114-D114</f>
      </c>
      <c r="F114" s="3">
        <v>8</v>
      </c>
      <c r="G114" s="3">
        <v>0</v>
      </c>
      <c r="H114" s="4">
        <f>F114/B114</f>
      </c>
    </row>
    <row r="115" spans="1:8" x14ac:dyDescent="0.25">
      <c r="A115" s="2" t="s">
        <v>111</v>
      </c>
      <c r="B115" s="3">
        <v>28</v>
      </c>
      <c r="C115" s="3"/>
      <c r="D115" s="3">
        <f>F115+G115</f>
      </c>
      <c r="E115" s="3">
        <f>B115-D115</f>
      </c>
      <c r="F115" s="3">
        <v>3</v>
      </c>
      <c r="G115" s="3">
        <v>0</v>
      </c>
      <c r="H115" s="4">
        <f>F115/B115</f>
      </c>
    </row>
    <row r="116" spans="1:8" x14ac:dyDescent="0.25">
      <c r="A116" s="5" t="s">
        <v>12</v>
      </c>
      <c r="B116" s="6">
        <f>SUM(B111:B115)</f>
      </c>
      <c r="C116" s="5"/>
      <c r="D116" s="6">
        <f>SUM(D111:D115)</f>
      </c>
      <c r="E116" s="6">
        <f>SUM(E111:E115)</f>
      </c>
      <c r="F116" s="6">
        <f>SUM(F111:F115)</f>
      </c>
      <c r="G116" s="6">
        <f>SUM(G111:G115)</f>
      </c>
      <c r="H116" s="7">
        <f>F116/B116</f>
      </c>
    </row>
    <row r="117" spans="1:8" x14ac:dyDescent="0.25">
      <c r="A117" s="2" t="s">
        <v>112</v>
      </c>
      <c r="B117" s="3">
        <v>36</v>
      </c>
      <c r="C117" s="3"/>
      <c r="D117" s="3">
        <f>F117+G117</f>
      </c>
      <c r="E117" s="3">
        <f>B117-D117</f>
      </c>
      <c r="F117" s="3">
        <v>0</v>
      </c>
      <c r="G117" s="3">
        <v>0</v>
      </c>
      <c r="H117" s="4">
        <f>F117/B117</f>
      </c>
    </row>
    <row r="118" spans="1:8" x14ac:dyDescent="0.25">
      <c r="A118" s="2" t="s">
        <v>113</v>
      </c>
      <c r="B118" s="3">
        <v>19</v>
      </c>
      <c r="C118" s="3"/>
      <c r="D118" s="3">
        <f>F118+G118</f>
      </c>
      <c r="E118" s="3">
        <f>B118-D118</f>
      </c>
      <c r="F118" s="3">
        <v>0</v>
      </c>
      <c r="G118" s="3">
        <v>0</v>
      </c>
      <c r="H118" s="4">
        <f>F118/B118</f>
      </c>
    </row>
    <row r="119" spans="1:8" x14ac:dyDescent="0.25">
      <c r="A119" s="2" t="s">
        <v>114</v>
      </c>
      <c r="B119" s="3">
        <v>11</v>
      </c>
      <c r="C119" s="3"/>
      <c r="D119" s="3">
        <f>F119+G119</f>
      </c>
      <c r="E119" s="3">
        <f>B119-D119</f>
      </c>
      <c r="F119" s="3">
        <v>0</v>
      </c>
      <c r="G119" s="3">
        <v>0</v>
      </c>
      <c r="H119" s="4">
        <f>F119/B119</f>
      </c>
    </row>
    <row r="120" spans="1:8" x14ac:dyDescent="0.25">
      <c r="A120" s="2" t="s">
        <v>115</v>
      </c>
      <c r="B120" s="3">
        <v>20</v>
      </c>
      <c r="C120" s="3"/>
      <c r="D120" s="3">
        <f>F120+G120</f>
      </c>
      <c r="E120" s="3">
        <f>B120-D120</f>
      </c>
      <c r="F120" s="3">
        <v>0</v>
      </c>
      <c r="G120" s="3">
        <v>0</v>
      </c>
      <c r="H120" s="4">
        <f>F120/B120</f>
      </c>
    </row>
    <row r="121" spans="1:8" x14ac:dyDescent="0.25">
      <c r="A121" s="5" t="s">
        <v>12</v>
      </c>
      <c r="B121" s="6">
        <f>SUM(B117:B120)</f>
      </c>
      <c r="C121" s="5"/>
      <c r="D121" s="6">
        <f>SUM(D117:D120)</f>
      </c>
      <c r="E121" s="6">
        <f>SUM(E117:E120)</f>
      </c>
      <c r="F121" s="6">
        <f>SUM(F117:F120)</f>
      </c>
      <c r="G121" s="6">
        <f>SUM(G117:G120)</f>
      </c>
      <c r="H121" s="7">
        <f>F121/B121</f>
      </c>
    </row>
    <row r="122" spans="1:8" x14ac:dyDescent="0.25">
      <c r="A122" s="2" t="s">
        <v>116</v>
      </c>
      <c r="B122" s="3" t="s">
        <v>117</v>
      </c>
      <c r="C122" s="3">
        <v>46</v>
      </c>
      <c r="D122" s="3">
        <f>F122+G122</f>
      </c>
      <c r="E122" s="3">
        <f>C122-D122</f>
      </c>
      <c r="F122" s="3">
        <v>21</v>
      </c>
      <c r="G122" s="3">
        <v>0</v>
      </c>
      <c r="H122" s="4">
        <f>F122/C122</f>
      </c>
    </row>
    <row r="123" spans="1:8" x14ac:dyDescent="0.25">
      <c r="A123" s="2" t="s">
        <v>118</v>
      </c>
      <c r="B123" s="3" t="s">
        <v>72</v>
      </c>
      <c r="C123" s="3">
        <v>14</v>
      </c>
      <c r="D123" s="3">
        <f>F123+G123</f>
      </c>
      <c r="E123" s="3">
        <f>C123-D123</f>
      </c>
      <c r="F123" s="3">
        <v>0</v>
      </c>
      <c r="G123" s="3">
        <v>0</v>
      </c>
      <c r="H123" s="4">
        <f>F123/C123</f>
      </c>
    </row>
    <row r="124" spans="1:8" x14ac:dyDescent="0.25">
      <c r="A124" s="2" t="s">
        <v>119</v>
      </c>
      <c r="B124" s="3">
        <v>13</v>
      </c>
      <c r="C124" s="3"/>
      <c r="D124" s="3">
        <f>F124+G124</f>
      </c>
      <c r="E124" s="3">
        <f>B124-D124</f>
      </c>
      <c r="F124" s="3">
        <v>0</v>
      </c>
      <c r="G124" s="3">
        <v>0</v>
      </c>
      <c r="H124" s="4">
        <f>F124/B124</f>
      </c>
    </row>
    <row r="125" spans="1:8" x14ac:dyDescent="0.25">
      <c r="A125" s="2" t="s">
        <v>120</v>
      </c>
      <c r="B125" s="3">
        <v>14</v>
      </c>
      <c r="C125" s="3"/>
      <c r="D125" s="3">
        <f>F125+G125</f>
      </c>
      <c r="E125" s="3">
        <f>B125-D125</f>
      </c>
      <c r="F125" s="3">
        <v>0</v>
      </c>
      <c r="G125" s="3">
        <v>0</v>
      </c>
      <c r="H125" s="4">
        <f>F125/B125</f>
      </c>
    </row>
    <row r="126" spans="1:8" x14ac:dyDescent="0.25">
      <c r="A126" s="5" t="s">
        <v>12</v>
      </c>
      <c r="B126" s="6">
        <f>SUM(B122:B125)</f>
      </c>
      <c r="C126" s="5"/>
      <c r="D126" s="6">
        <f>SUM(D122:D125)</f>
      </c>
      <c r="E126" s="6">
        <f>SUM(E122:E125)</f>
      </c>
      <c r="F126" s="6">
        <f>SUM(F122:F125)</f>
      </c>
      <c r="G126" s="6">
        <f>SUM(G122:G125)</f>
      </c>
      <c r="H126" s="7">
        <f>F126/B126</f>
      </c>
    </row>
    <row r="127" spans="1:8" x14ac:dyDescent="0.25">
      <c r="A127" s="2" t="s">
        <v>121</v>
      </c>
      <c r="B127" s="3">
        <v>14</v>
      </c>
      <c r="C127" s="3"/>
      <c r="D127" s="3">
        <f>F127+G127</f>
      </c>
      <c r="E127" s="3">
        <f>B127-D127</f>
      </c>
      <c r="F127" s="3">
        <v>0</v>
      </c>
      <c r="G127" s="3">
        <v>0</v>
      </c>
      <c r="H127" s="4">
        <f>F127/B127</f>
      </c>
    </row>
    <row r="128" spans="1:8" x14ac:dyDescent="0.25">
      <c r="A128" s="2" t="s">
        <v>122</v>
      </c>
      <c r="B128" s="3">
        <v>23</v>
      </c>
      <c r="C128" s="3"/>
      <c r="D128" s="3">
        <f>F128+G128</f>
      </c>
      <c r="E128" s="3">
        <f>B128-D128</f>
      </c>
      <c r="F128" s="3">
        <v>3</v>
      </c>
      <c r="G128" s="3">
        <v>0</v>
      </c>
      <c r="H128" s="4">
        <f>F128/B128</f>
      </c>
    </row>
    <row r="129" spans="1:8" x14ac:dyDescent="0.25">
      <c r="A129" s="2" t="s">
        <v>123</v>
      </c>
      <c r="B129" s="3">
        <v>23</v>
      </c>
      <c r="C129" s="3"/>
      <c r="D129" s="3">
        <f>F129+G129</f>
      </c>
      <c r="E129" s="3">
        <f>B129-D129</f>
      </c>
      <c r="F129" s="3">
        <v>4</v>
      </c>
      <c r="G129" s="3">
        <v>0</v>
      </c>
      <c r="H129" s="4">
        <f>F129/B129</f>
      </c>
    </row>
    <row r="130" spans="1:8" x14ac:dyDescent="0.25">
      <c r="A130" s="2" t="s">
        <v>124</v>
      </c>
      <c r="B130" s="3">
        <v>20</v>
      </c>
      <c r="C130" s="3"/>
      <c r="D130" s="3">
        <f>F130+G130</f>
      </c>
      <c r="E130" s="3">
        <f>B130-D130</f>
      </c>
      <c r="F130" s="3">
        <v>1</v>
      </c>
      <c r="G130" s="3">
        <v>0</v>
      </c>
      <c r="H130" s="4">
        <f>F130/B130</f>
      </c>
    </row>
    <row r="131" spans="1:8" x14ac:dyDescent="0.25">
      <c r="A131" s="5" t="s">
        <v>12</v>
      </c>
      <c r="B131" s="6">
        <f>SUM(B127:B130)</f>
      </c>
      <c r="C131" s="5"/>
      <c r="D131" s="6">
        <f>SUM(D127:D130)</f>
      </c>
      <c r="E131" s="6">
        <f>SUM(E127:E130)</f>
      </c>
      <c r="F131" s="6">
        <f>SUM(F127:F130)</f>
      </c>
      <c r="G131" s="6">
        <f>SUM(G127:G130)</f>
      </c>
      <c r="H131" s="7">
        <f>F131/B131</f>
      </c>
    </row>
    <row r="132" spans="1:8" x14ac:dyDescent="0.25">
      <c r="A132" s="2" t="s">
        <v>125</v>
      </c>
      <c r="B132" s="3">
        <v>21</v>
      </c>
      <c r="C132" s="3"/>
      <c r="D132" s="3">
        <f>F132+G132</f>
      </c>
      <c r="E132" s="3">
        <f>B132-D132</f>
      </c>
      <c r="F132" s="3">
        <v>0</v>
      </c>
      <c r="G132" s="3">
        <v>0</v>
      </c>
      <c r="H132" s="4">
        <f>F132/B132</f>
      </c>
    </row>
    <row r="133" spans="1:8" x14ac:dyDescent="0.25">
      <c r="A133" s="2" t="s">
        <v>126</v>
      </c>
      <c r="B133" s="3" t="s">
        <v>127</v>
      </c>
      <c r="C133" s="3">
        <v>26</v>
      </c>
      <c r="D133" s="3">
        <f>F133+G133</f>
      </c>
      <c r="E133" s="3">
        <f>C133-D133</f>
      </c>
      <c r="F133" s="3">
        <v>0</v>
      </c>
      <c r="G133" s="3">
        <v>0</v>
      </c>
      <c r="H133" s="4">
        <f>F133/C133</f>
      </c>
    </row>
    <row r="134" spans="1:8" x14ac:dyDescent="0.25">
      <c r="A134" s="2" t="s">
        <v>128</v>
      </c>
      <c r="B134" s="3">
        <v>14</v>
      </c>
      <c r="C134" s="3"/>
      <c r="D134" s="3">
        <f>F134+G134</f>
      </c>
      <c r="E134" s="3">
        <f>B134-D134</f>
      </c>
      <c r="F134" s="3">
        <v>0</v>
      </c>
      <c r="G134" s="3">
        <v>0</v>
      </c>
      <c r="H134" s="4">
        <f>F134/B134</f>
      </c>
    </row>
    <row r="135" spans="1:8" x14ac:dyDescent="0.25">
      <c r="A135" s="5" t="s">
        <v>12</v>
      </c>
      <c r="B135" s="6">
        <f>SUM(B132:B134)</f>
      </c>
      <c r="C135" s="5"/>
      <c r="D135" s="6">
        <f>SUM(D132:D134)</f>
      </c>
      <c r="E135" s="6">
        <f>SUM(E132:E134)</f>
      </c>
      <c r="F135" s="6">
        <f>SUM(F132:F134)</f>
      </c>
      <c r="G135" s="6">
        <f>SUM(G132:G134)</f>
      </c>
      <c r="H135" s="7">
        <f>F135/B135</f>
      </c>
    </row>
    <row r="136" spans="1:8" x14ac:dyDescent="0.25">
      <c r="A136" s="2" t="s">
        <v>129</v>
      </c>
      <c r="B136" s="3">
        <v>37</v>
      </c>
      <c r="C136" s="3"/>
      <c r="D136" s="3">
        <f>F136+G136</f>
      </c>
      <c r="E136" s="3">
        <f>B136-D136</f>
      </c>
      <c r="F136" s="3">
        <v>0</v>
      </c>
      <c r="G136" s="3">
        <v>0</v>
      </c>
      <c r="H136" s="4">
        <f>F136/B136</f>
      </c>
    </row>
    <row r="137" spans="1:8" x14ac:dyDescent="0.25">
      <c r="A137" s="2" t="s">
        <v>130</v>
      </c>
      <c r="B137" s="3">
        <v>24</v>
      </c>
      <c r="C137" s="3"/>
      <c r="D137" s="3">
        <f>F137+G137</f>
      </c>
      <c r="E137" s="3">
        <f>B137-D137</f>
      </c>
      <c r="F137" s="3">
        <v>0</v>
      </c>
      <c r="G137" s="3">
        <v>0</v>
      </c>
      <c r="H137" s="4">
        <f>F137/B137</f>
      </c>
    </row>
    <row r="138" spans="1:8" x14ac:dyDescent="0.25">
      <c r="A138" s="2" t="s">
        <v>131</v>
      </c>
      <c r="B138" s="3">
        <v>15</v>
      </c>
      <c r="C138" s="3"/>
      <c r="D138" s="3">
        <f>F138+G138</f>
      </c>
      <c r="E138" s="3">
        <f>B138-D138</f>
      </c>
      <c r="F138" s="3">
        <v>0</v>
      </c>
      <c r="G138" s="3">
        <v>0</v>
      </c>
      <c r="H138" s="4">
        <f>F138/B138</f>
      </c>
    </row>
    <row r="139" spans="1:8" x14ac:dyDescent="0.25">
      <c r="A139" s="5" t="s">
        <v>12</v>
      </c>
      <c r="B139" s="6">
        <f>SUM(B136:B138)</f>
      </c>
      <c r="C139" s="5"/>
      <c r="D139" s="6">
        <f>SUM(D136:D138)</f>
      </c>
      <c r="E139" s="6">
        <f>SUM(E136:E138)</f>
      </c>
      <c r="F139" s="6">
        <f>SUM(F136:F138)</f>
      </c>
      <c r="G139" s="6">
        <f>SUM(G136:G138)</f>
      </c>
      <c r="H139" s="7">
        <f>F139/B139</f>
      </c>
    </row>
    <row r="140" spans="1:8" x14ac:dyDescent="0.25">
      <c r="A140" s="2" t="s">
        <v>132</v>
      </c>
      <c r="B140" s="3">
        <v>23</v>
      </c>
      <c r="C140" s="3"/>
      <c r="D140" s="3">
        <f>F140+G140</f>
      </c>
      <c r="E140" s="3">
        <f>B140-D140</f>
      </c>
      <c r="F140" s="3">
        <v>0</v>
      </c>
      <c r="G140" s="3">
        <v>0</v>
      </c>
      <c r="H140" s="4">
        <f>F140/B140</f>
      </c>
    </row>
    <row r="141" spans="1:8" x14ac:dyDescent="0.25">
      <c r="A141" s="2" t="s">
        <v>133</v>
      </c>
      <c r="B141" s="3">
        <v>10</v>
      </c>
      <c r="C141" s="3"/>
      <c r="D141" s="3">
        <f>F141+G141</f>
      </c>
      <c r="E141" s="3">
        <f>B141-D141</f>
      </c>
      <c r="F141" s="3">
        <v>0</v>
      </c>
      <c r="G141" s="3">
        <v>0</v>
      </c>
      <c r="H141" s="4">
        <f>F141/B141</f>
      </c>
    </row>
    <row r="142" spans="1:8" x14ac:dyDescent="0.25">
      <c r="A142" s="2" t="s">
        <v>134</v>
      </c>
      <c r="B142" s="3">
        <v>23</v>
      </c>
      <c r="C142" s="3"/>
      <c r="D142" s="3">
        <f>F142+G142</f>
      </c>
      <c r="E142" s="3">
        <f>B142-D142</f>
      </c>
      <c r="F142" s="3">
        <v>1</v>
      </c>
      <c r="G142" s="3">
        <v>0</v>
      </c>
      <c r="H142" s="4">
        <f>F142/B142</f>
      </c>
    </row>
    <row r="143" spans="1:8" x14ac:dyDescent="0.25">
      <c r="A143" s="2" t="s">
        <v>135</v>
      </c>
      <c r="B143" s="3">
        <v>24</v>
      </c>
      <c r="C143" s="3"/>
      <c r="D143" s="3">
        <f>F143+G143</f>
      </c>
      <c r="E143" s="3">
        <f>B143-D143</f>
      </c>
      <c r="F143" s="3">
        <v>0</v>
      </c>
      <c r="G143" s="3">
        <v>0</v>
      </c>
      <c r="H143" s="4">
        <f>F143/B143</f>
      </c>
    </row>
    <row r="144" spans="1:8" x14ac:dyDescent="0.25">
      <c r="A144" s="2" t="s">
        <v>136</v>
      </c>
      <c r="B144" s="3">
        <v>15</v>
      </c>
      <c r="C144" s="3"/>
      <c r="D144" s="3">
        <f>F144+G144</f>
      </c>
      <c r="E144" s="3">
        <f>B144-D144</f>
      </c>
      <c r="F144" s="3">
        <v>0</v>
      </c>
      <c r="G144" s="3">
        <v>0</v>
      </c>
      <c r="H144" s="4">
        <f>F144/B144</f>
      </c>
    </row>
    <row r="145" spans="1:8" x14ac:dyDescent="0.25">
      <c r="A145" s="5" t="s">
        <v>12</v>
      </c>
      <c r="B145" s="6">
        <f>SUM(B140:B144)</f>
      </c>
      <c r="C145" s="5"/>
      <c r="D145" s="6">
        <f>SUM(D140:D144)</f>
      </c>
      <c r="E145" s="6">
        <f>SUM(E140:E144)</f>
      </c>
      <c r="F145" s="6">
        <f>SUM(F140:F144)</f>
      </c>
      <c r="G145" s="6">
        <f>SUM(G140:G144)</f>
      </c>
      <c r="H145" s="7">
        <f>F145/B145</f>
      </c>
    </row>
    <row r="146" spans="1:8" x14ac:dyDescent="0.25">
      <c r="A146" s="2" t="s">
        <v>137</v>
      </c>
      <c r="B146" s="3">
        <v>12</v>
      </c>
      <c r="C146" s="3"/>
      <c r="D146" s="3">
        <f>F146+G146</f>
      </c>
      <c r="E146" s="3">
        <f>B146-D146</f>
      </c>
      <c r="F146" s="3">
        <v>5</v>
      </c>
      <c r="G146" s="3">
        <v>0</v>
      </c>
      <c r="H146" s="4">
        <f>F146/B146</f>
      </c>
    </row>
    <row r="147" spans="1:8" x14ac:dyDescent="0.25">
      <c r="A147" s="2" t="s">
        <v>138</v>
      </c>
      <c r="B147" s="3">
        <v>11</v>
      </c>
      <c r="C147" s="3"/>
      <c r="D147" s="3">
        <f>F147+G147</f>
      </c>
      <c r="E147" s="3">
        <f>B147-D147</f>
      </c>
      <c r="F147" s="3">
        <v>3</v>
      </c>
      <c r="G147" s="3">
        <v>0</v>
      </c>
      <c r="H147" s="4">
        <f>F147/B147</f>
      </c>
    </row>
    <row r="148" spans="1:8" x14ac:dyDescent="0.25">
      <c r="A148" s="2" t="s">
        <v>139</v>
      </c>
      <c r="B148" s="3">
        <v>12</v>
      </c>
      <c r="C148" s="3"/>
      <c r="D148" s="3">
        <f>F148+G148</f>
      </c>
      <c r="E148" s="3">
        <f>B148-D148</f>
      </c>
      <c r="F148" s="3">
        <v>5</v>
      </c>
      <c r="G148" s="3">
        <v>0</v>
      </c>
      <c r="H148" s="4">
        <f>F148/B148</f>
      </c>
    </row>
    <row r="149" spans="1:8" x14ac:dyDescent="0.25">
      <c r="A149" s="2" t="s">
        <v>140</v>
      </c>
      <c r="B149" s="3">
        <v>12</v>
      </c>
      <c r="C149" s="3"/>
      <c r="D149" s="3">
        <f>F149+G149</f>
      </c>
      <c r="E149" s="3">
        <f>B149-D149</f>
      </c>
      <c r="F149" s="3">
        <v>3</v>
      </c>
      <c r="G149" s="3">
        <v>0</v>
      </c>
      <c r="H149" s="4">
        <f>F149/B149</f>
      </c>
    </row>
    <row r="150" spans="1:8" x14ac:dyDescent="0.25">
      <c r="A150" s="2" t="s">
        <v>141</v>
      </c>
      <c r="B150" s="3">
        <v>16</v>
      </c>
      <c r="C150" s="3"/>
      <c r="D150" s="3">
        <f>F150+G150</f>
      </c>
      <c r="E150" s="3">
        <f>B150-D150</f>
      </c>
      <c r="F150" s="3">
        <v>8</v>
      </c>
      <c r="G150" s="3">
        <v>0</v>
      </c>
      <c r="H150" s="4">
        <f>F150/B150</f>
      </c>
    </row>
    <row r="151" spans="1:8" x14ac:dyDescent="0.25">
      <c r="A151" s="2" t="s">
        <v>142</v>
      </c>
      <c r="B151" s="3">
        <v>10</v>
      </c>
      <c r="C151" s="3"/>
      <c r="D151" s="3">
        <f>F151+G151</f>
      </c>
      <c r="E151" s="3">
        <f>B151-D151</f>
      </c>
      <c r="F151" s="3">
        <v>4</v>
      </c>
      <c r="G151" s="3">
        <v>0</v>
      </c>
      <c r="H151" s="4">
        <f>F151/B151</f>
      </c>
    </row>
    <row r="152" spans="1:8" x14ac:dyDescent="0.25">
      <c r="A152" s="2" t="s">
        <v>143</v>
      </c>
      <c r="B152" s="3">
        <v>10</v>
      </c>
      <c r="C152" s="3"/>
      <c r="D152" s="3">
        <f>F152+G152</f>
      </c>
      <c r="E152" s="3">
        <f>B152-D152</f>
      </c>
      <c r="F152" s="3">
        <v>5</v>
      </c>
      <c r="G152" s="3">
        <v>0</v>
      </c>
      <c r="H152" s="4">
        <f>F152/B152</f>
      </c>
    </row>
    <row r="153" spans="1:8" x14ac:dyDescent="0.25">
      <c r="A153" s="2" t="s">
        <v>144</v>
      </c>
      <c r="B153" s="3">
        <v>14</v>
      </c>
      <c r="C153" s="3"/>
      <c r="D153" s="3">
        <f>F153+G153</f>
      </c>
      <c r="E153" s="3">
        <f>B153-D153</f>
      </c>
      <c r="F153" s="3">
        <v>10</v>
      </c>
      <c r="G153" s="3">
        <v>0</v>
      </c>
      <c r="H153" s="4">
        <f>F153/B153</f>
      </c>
    </row>
    <row r="154" spans="1:8" x14ac:dyDescent="0.25">
      <c r="A154" s="2" t="s">
        <v>145</v>
      </c>
      <c r="B154" s="3" t="s">
        <v>72</v>
      </c>
      <c r="C154" s="3">
        <v>14</v>
      </c>
      <c r="D154" s="3">
        <f>F154+G154</f>
      </c>
      <c r="E154" s="3">
        <f>C154-D154</f>
      </c>
      <c r="F154" s="3">
        <v>5</v>
      </c>
      <c r="G154" s="3">
        <v>0</v>
      </c>
      <c r="H154" s="4">
        <f>F154/C154</f>
      </c>
    </row>
    <row r="155" spans="1:8" x14ac:dyDescent="0.25">
      <c r="A155" s="5" t="s">
        <v>12</v>
      </c>
      <c r="B155" s="6">
        <f>SUM(B146:B154)</f>
      </c>
      <c r="C155" s="5"/>
      <c r="D155" s="6">
        <f>SUM(D146:D154)</f>
      </c>
      <c r="E155" s="6">
        <f>SUM(E146:E154)</f>
      </c>
      <c r="F155" s="6">
        <f>SUM(F146:F154)</f>
      </c>
      <c r="G155" s="6">
        <f>SUM(G146:G154)</f>
      </c>
      <c r="H155" s="7">
        <f>F155/B155</f>
      </c>
    </row>
    <row r="156" spans="1:8" x14ac:dyDescent="0.25">
      <c r="A156" s="2" t="s">
        <v>146</v>
      </c>
      <c r="B156" s="3">
        <v>30</v>
      </c>
      <c r="C156" s="3"/>
      <c r="D156" s="3">
        <f>F156+G156</f>
      </c>
      <c r="E156" s="3">
        <f>B156-D156</f>
      </c>
      <c r="F156" s="3">
        <v>0</v>
      </c>
      <c r="G156" s="3">
        <v>0</v>
      </c>
      <c r="H156" s="4">
        <f>F156/B156</f>
      </c>
    </row>
    <row r="157" spans="1:8" x14ac:dyDescent="0.25">
      <c r="A157" s="2" t="s">
        <v>147</v>
      </c>
      <c r="B157" s="3">
        <v>18</v>
      </c>
      <c r="C157" s="3"/>
      <c r="D157" s="3">
        <f>F157+G157</f>
      </c>
      <c r="E157" s="3">
        <f>B157-D157</f>
      </c>
      <c r="F157" s="3">
        <v>0</v>
      </c>
      <c r="G157" s="3">
        <v>0</v>
      </c>
      <c r="H157" s="4">
        <f>F157/B157</f>
      </c>
    </row>
    <row r="158" spans="1:8" x14ac:dyDescent="0.25">
      <c r="A158" s="2" t="s">
        <v>148</v>
      </c>
      <c r="B158" s="3">
        <v>12</v>
      </c>
      <c r="C158" s="3"/>
      <c r="D158" s="3">
        <f>F158+G158</f>
      </c>
      <c r="E158" s="3">
        <f>B158-D158</f>
      </c>
      <c r="F158" s="3">
        <v>0</v>
      </c>
      <c r="G158" s="3">
        <v>0</v>
      </c>
      <c r="H158" s="4">
        <f>F158/B158</f>
      </c>
    </row>
    <row r="159" spans="1:8" x14ac:dyDescent="0.25">
      <c r="A159" s="2" t="s">
        <v>149</v>
      </c>
      <c r="B159" s="3">
        <v>19</v>
      </c>
      <c r="C159" s="3"/>
      <c r="D159" s="3">
        <f>F159+G159</f>
      </c>
      <c r="E159" s="3">
        <f>B159-D159</f>
      </c>
      <c r="F159" s="3">
        <v>0</v>
      </c>
      <c r="G159" s="3">
        <v>0</v>
      </c>
      <c r="H159" s="4">
        <f>F159/B159</f>
      </c>
    </row>
    <row r="160" spans="1:8" x14ac:dyDescent="0.25">
      <c r="A160" s="5" t="s">
        <v>12</v>
      </c>
      <c r="B160" s="6">
        <f>SUM(B156:B159)</f>
      </c>
      <c r="C160" s="5"/>
      <c r="D160" s="6">
        <f>SUM(D156:D159)</f>
      </c>
      <c r="E160" s="6">
        <f>SUM(E156:E159)</f>
      </c>
      <c r="F160" s="6">
        <f>SUM(F156:F159)</f>
      </c>
      <c r="G160" s="6">
        <f>SUM(G156:G159)</f>
      </c>
      <c r="H160" s="7">
        <f>F160/B160</f>
      </c>
    </row>
    <row r="161" spans="1:8" x14ac:dyDescent="0.25">
      <c r="A161" s="5" t="s">
        <v>150</v>
      </c>
      <c r="B161" s="6">
        <f>SUM(B105,B110,B116,B121,B126,B131,B135,B139,B145,B155,B160)</f>
      </c>
      <c r="C161" s="5"/>
      <c r="D161" s="6">
        <f>SUM(D105,D110,D116,D121,D126,D131,D135,D139,D145,D155,D160)</f>
      </c>
      <c r="E161" s="6">
        <f>SUM(E105,E110,E116,E121,E126,E131,E135,E139,E145,E155,E160)</f>
      </c>
      <c r="F161" s="6">
        <f>SUM(F105,F110,F116,F121,F126,F131,F135,F139,F145,F155,F160)</f>
      </c>
      <c r="G161" s="6">
        <f>SUM(G105,G110,G116,G121,G126,G131,G135,G139,G145,G155,G160)</f>
      </c>
      <c r="H161" s="7">
        <f>F161/B161</f>
      </c>
    </row>
    <row r="162" spans="1:8" x14ac:dyDescent="0.25">
      <c r="A162" s="2" t="s">
        <v>151</v>
      </c>
      <c r="B162" s="3">
        <v>22</v>
      </c>
      <c r="C162" s="3"/>
      <c r="D162" s="3">
        <f>F162+G162</f>
      </c>
      <c r="E162" s="3">
        <f>B162-D162</f>
      </c>
      <c r="F162" s="3">
        <v>10</v>
      </c>
      <c r="G162" s="3">
        <v>0</v>
      </c>
      <c r="H162" s="4">
        <f>F162/B162</f>
      </c>
    </row>
    <row r="163" spans="1:8" x14ac:dyDescent="0.25">
      <c r="A163" s="2" t="s">
        <v>152</v>
      </c>
      <c r="B163" s="3">
        <v>30</v>
      </c>
      <c r="C163" s="3"/>
      <c r="D163" s="3">
        <f>F163+G163</f>
      </c>
      <c r="E163" s="3">
        <f>B163-D163</f>
      </c>
      <c r="F163" s="3">
        <v>10</v>
      </c>
      <c r="G163" s="3">
        <v>0</v>
      </c>
      <c r="H163" s="4">
        <f>F163/B163</f>
      </c>
    </row>
    <row r="164" spans="1:8" x14ac:dyDescent="0.25">
      <c r="A164" s="2" t="s">
        <v>153</v>
      </c>
      <c r="B164" s="3">
        <v>16</v>
      </c>
      <c r="C164" s="3"/>
      <c r="D164" s="3">
        <f>F164+G164</f>
      </c>
      <c r="E164" s="3">
        <f>B164-D164</f>
      </c>
      <c r="F164" s="3">
        <v>7</v>
      </c>
      <c r="G164" s="3">
        <v>0</v>
      </c>
      <c r="H164" s="4">
        <f>F164/B164</f>
      </c>
    </row>
    <row r="165" spans="1:8" x14ac:dyDescent="0.25">
      <c r="A165" s="2" t="s">
        <v>154</v>
      </c>
      <c r="B165" s="3">
        <v>47</v>
      </c>
      <c r="C165" s="3"/>
      <c r="D165" s="3">
        <f>F165+G165</f>
      </c>
      <c r="E165" s="3">
        <f>B165-D165</f>
      </c>
      <c r="F165" s="3">
        <v>25</v>
      </c>
      <c r="G165" s="3">
        <v>0</v>
      </c>
      <c r="H165" s="4">
        <f>F165/B165</f>
      </c>
    </row>
    <row r="166" spans="1:8" x14ac:dyDescent="0.25">
      <c r="A166" s="5" t="s">
        <v>12</v>
      </c>
      <c r="B166" s="6">
        <f>SUM(B162:B165)</f>
      </c>
      <c r="C166" s="5"/>
      <c r="D166" s="6">
        <f>SUM(D162:D165)</f>
      </c>
      <c r="E166" s="6">
        <f>SUM(E162:E165)</f>
      </c>
      <c r="F166" s="6">
        <f>SUM(F162:F165)</f>
      </c>
      <c r="G166" s="6">
        <f>SUM(G162:G165)</f>
      </c>
      <c r="H166" s="7">
        <f>F166/B166</f>
      </c>
    </row>
    <row r="167" spans="1:8" x14ac:dyDescent="0.25">
      <c r="A167" s="2" t="s">
        <v>155</v>
      </c>
      <c r="B167" s="3">
        <v>19</v>
      </c>
      <c r="C167" s="3"/>
      <c r="D167" s="3">
        <f>F167+G167</f>
      </c>
      <c r="E167" s="3">
        <f>B167-D167</f>
      </c>
      <c r="F167" s="3">
        <v>9</v>
      </c>
      <c r="G167" s="3">
        <v>0</v>
      </c>
      <c r="H167" s="4">
        <f>F167/B167</f>
      </c>
    </row>
    <row r="168" spans="1:8" x14ac:dyDescent="0.25">
      <c r="A168" s="2" t="s">
        <v>156</v>
      </c>
      <c r="B168" s="3">
        <v>31</v>
      </c>
      <c r="C168" s="3"/>
      <c r="D168" s="3">
        <f>F168+G168</f>
      </c>
      <c r="E168" s="3">
        <f>B168-D168</f>
      </c>
      <c r="F168" s="3">
        <v>10</v>
      </c>
      <c r="G168" s="3">
        <v>0</v>
      </c>
      <c r="H168" s="4">
        <f>F168/B168</f>
      </c>
    </row>
    <row r="169" spans="1:8" x14ac:dyDescent="0.25">
      <c r="A169" s="2" t="s">
        <v>157</v>
      </c>
      <c r="B169" s="3">
        <v>30</v>
      </c>
      <c r="C169" s="3"/>
      <c r="D169" s="3">
        <f>F169+G169</f>
      </c>
      <c r="E169" s="3">
        <f>B169-D169</f>
      </c>
      <c r="F169" s="3">
        <v>9</v>
      </c>
      <c r="G169" s="3">
        <v>0</v>
      </c>
      <c r="H169" s="4">
        <f>F169/B169</f>
      </c>
    </row>
    <row r="170" spans="1:8" x14ac:dyDescent="0.25">
      <c r="A170" s="2" t="s">
        <v>158</v>
      </c>
      <c r="B170" s="3">
        <v>35</v>
      </c>
      <c r="C170" s="3"/>
      <c r="D170" s="3">
        <f>F170+G170</f>
      </c>
      <c r="E170" s="3">
        <f>B170-D170</f>
      </c>
      <c r="F170" s="3">
        <v>15</v>
      </c>
      <c r="G170" s="3">
        <v>0</v>
      </c>
      <c r="H170" s="4">
        <f>F170/B170</f>
      </c>
    </row>
    <row r="171" spans="1:8" x14ac:dyDescent="0.25">
      <c r="A171" s="2" t="s">
        <v>159</v>
      </c>
      <c r="B171" s="3">
        <v>14</v>
      </c>
      <c r="C171" s="3"/>
      <c r="D171" s="3">
        <f>F171+G171</f>
      </c>
      <c r="E171" s="3">
        <f>B171-D171</f>
      </c>
      <c r="F171" s="3">
        <v>10</v>
      </c>
      <c r="G171" s="3">
        <v>0</v>
      </c>
      <c r="H171" s="4">
        <f>F171/B171</f>
      </c>
    </row>
    <row r="172" spans="1:8" x14ac:dyDescent="0.25">
      <c r="A172" s="5" t="s">
        <v>12</v>
      </c>
      <c r="B172" s="6">
        <f>SUM(B167:B171)</f>
      </c>
      <c r="C172" s="5"/>
      <c r="D172" s="6">
        <f>SUM(D167:D171)</f>
      </c>
      <c r="E172" s="6">
        <f>SUM(E167:E171)</f>
      </c>
      <c r="F172" s="6">
        <f>SUM(F167:F171)</f>
      </c>
      <c r="G172" s="6">
        <f>SUM(G167:G171)</f>
      </c>
      <c r="H172" s="7">
        <f>F172/B172</f>
      </c>
    </row>
    <row r="173" spans="1:8" x14ac:dyDescent="0.25">
      <c r="A173" s="2" t="s">
        <v>160</v>
      </c>
      <c r="B173" s="3">
        <v>31</v>
      </c>
      <c r="C173" s="3"/>
      <c r="D173" s="3">
        <f>F173+G173</f>
      </c>
      <c r="E173" s="3">
        <f>B173-D173</f>
      </c>
      <c r="F173" s="3">
        <v>4</v>
      </c>
      <c r="G173" s="3">
        <v>0</v>
      </c>
      <c r="H173" s="4">
        <f>F173/B173</f>
      </c>
    </row>
    <row r="174" spans="1:8" x14ac:dyDescent="0.25">
      <c r="A174" s="2" t="s">
        <v>161</v>
      </c>
      <c r="B174" s="3">
        <v>16</v>
      </c>
      <c r="C174" s="3"/>
      <c r="D174" s="3">
        <f>F174+G174</f>
      </c>
      <c r="E174" s="3">
        <f>B174-D174</f>
      </c>
      <c r="F174" s="3">
        <v>5</v>
      </c>
      <c r="G174" s="3">
        <v>0</v>
      </c>
      <c r="H174" s="4">
        <f>F174/B174</f>
      </c>
    </row>
    <row r="175" spans="1:8" x14ac:dyDescent="0.25">
      <c r="A175" s="2" t="s">
        <v>162</v>
      </c>
      <c r="B175" s="3">
        <v>39</v>
      </c>
      <c r="C175" s="3"/>
      <c r="D175" s="3">
        <f>F175+G175</f>
      </c>
      <c r="E175" s="3">
        <f>B175-D175</f>
      </c>
      <c r="F175" s="3">
        <v>18</v>
      </c>
      <c r="G175" s="3">
        <v>0</v>
      </c>
      <c r="H175" s="4">
        <f>F175/B175</f>
      </c>
    </row>
    <row r="176" spans="1:8" x14ac:dyDescent="0.25">
      <c r="A176" s="2" t="s">
        <v>163</v>
      </c>
      <c r="B176" s="3">
        <v>31</v>
      </c>
      <c r="C176" s="3"/>
      <c r="D176" s="3">
        <f>F176+G176</f>
      </c>
      <c r="E176" s="3">
        <f>B176-D176</f>
      </c>
      <c r="F176" s="3">
        <v>16</v>
      </c>
      <c r="G176" s="3">
        <v>0</v>
      </c>
      <c r="H176" s="4">
        <f>F176/B176</f>
      </c>
    </row>
    <row r="177" spans="1:8" x14ac:dyDescent="0.25">
      <c r="A177" s="5" t="s">
        <v>12</v>
      </c>
      <c r="B177" s="6">
        <f>SUM(B173:B176)</f>
      </c>
      <c r="C177" s="5"/>
      <c r="D177" s="6">
        <f>SUM(D173:D176)</f>
      </c>
      <c r="E177" s="6">
        <f>SUM(E173:E176)</f>
      </c>
      <c r="F177" s="6">
        <f>SUM(F173:F176)</f>
      </c>
      <c r="G177" s="6">
        <f>SUM(G173:G176)</f>
      </c>
      <c r="H177" s="7">
        <f>F177/B177</f>
      </c>
    </row>
    <row r="178" spans="1:8" x14ac:dyDescent="0.25">
      <c r="A178" s="2" t="s">
        <v>164</v>
      </c>
      <c r="B178" s="3">
        <v>36</v>
      </c>
      <c r="C178" s="3"/>
      <c r="D178" s="3">
        <f>F178+G178</f>
      </c>
      <c r="E178" s="3">
        <f>B178-D178</f>
      </c>
      <c r="F178" s="3">
        <v>12</v>
      </c>
      <c r="G178" s="3">
        <v>0</v>
      </c>
      <c r="H178" s="4">
        <f>F178/B178</f>
      </c>
    </row>
    <row r="179" spans="1:8" x14ac:dyDescent="0.25">
      <c r="A179" s="2" t="s">
        <v>165</v>
      </c>
      <c r="B179" s="3">
        <v>39</v>
      </c>
      <c r="C179" s="3"/>
      <c r="D179" s="3">
        <f>F179+G179</f>
      </c>
      <c r="E179" s="3">
        <f>B179-D179</f>
      </c>
      <c r="F179" s="3">
        <v>14</v>
      </c>
      <c r="G179" s="3">
        <v>0</v>
      </c>
      <c r="H179" s="4">
        <f>F179/B179</f>
      </c>
    </row>
    <row r="180" spans="1:8" x14ac:dyDescent="0.25">
      <c r="A180" s="2" t="s">
        <v>166</v>
      </c>
      <c r="B180" s="3">
        <v>13</v>
      </c>
      <c r="C180" s="3"/>
      <c r="D180" s="3">
        <f>F180+G180</f>
      </c>
      <c r="E180" s="3">
        <f>B180-D180</f>
      </c>
      <c r="F180" s="3">
        <v>7</v>
      </c>
      <c r="G180" s="3">
        <v>0</v>
      </c>
      <c r="H180" s="4">
        <f>F180/B180</f>
      </c>
    </row>
    <row r="181" spans="1:8" x14ac:dyDescent="0.25">
      <c r="A181" s="2" t="s">
        <v>167</v>
      </c>
      <c r="B181" s="3">
        <v>42</v>
      </c>
      <c r="C181" s="3"/>
      <c r="D181" s="3">
        <f>F181+G181</f>
      </c>
      <c r="E181" s="3">
        <f>B181-D181</f>
      </c>
      <c r="F181" s="3">
        <v>10</v>
      </c>
      <c r="G181" s="3">
        <v>0</v>
      </c>
      <c r="H181" s="4">
        <f>F181/B181</f>
      </c>
    </row>
    <row r="182" spans="1:8" x14ac:dyDescent="0.25">
      <c r="A182" s="5" t="s">
        <v>12</v>
      </c>
      <c r="B182" s="6">
        <f>SUM(B178:B181)</f>
      </c>
      <c r="C182" s="5"/>
      <c r="D182" s="6">
        <f>SUM(D178:D181)</f>
      </c>
      <c r="E182" s="6">
        <f>SUM(E178:E181)</f>
      </c>
      <c r="F182" s="6">
        <f>SUM(F178:F181)</f>
      </c>
      <c r="G182" s="6">
        <f>SUM(G178:G181)</f>
      </c>
      <c r="H182" s="7">
        <f>F182/B182</f>
      </c>
    </row>
    <row r="183" spans="1:8" x14ac:dyDescent="0.25">
      <c r="A183" s="2" t="s">
        <v>168</v>
      </c>
      <c r="B183" s="3">
        <v>9</v>
      </c>
      <c r="C183" s="3"/>
      <c r="D183" s="3">
        <f>F183+G183</f>
      </c>
      <c r="E183" s="3">
        <f>B183-D183</f>
      </c>
      <c r="F183" s="3">
        <v>3</v>
      </c>
      <c r="G183" s="3">
        <v>0</v>
      </c>
      <c r="H183" s="4">
        <f>F183/B183</f>
      </c>
    </row>
    <row r="184" spans="1:8" x14ac:dyDescent="0.25">
      <c r="A184" s="2" t="s">
        <v>169</v>
      </c>
      <c r="B184" s="3">
        <v>15</v>
      </c>
      <c r="C184" s="3"/>
      <c r="D184" s="3">
        <f>F184+G184</f>
      </c>
      <c r="E184" s="3">
        <f>B184-D184</f>
      </c>
      <c r="F184" s="3">
        <v>7</v>
      </c>
      <c r="G184" s="3">
        <v>0</v>
      </c>
      <c r="H184" s="4">
        <f>F184/B184</f>
      </c>
    </row>
    <row r="185" spans="1:8" x14ac:dyDescent="0.25">
      <c r="A185" s="2" t="s">
        <v>170</v>
      </c>
      <c r="B185" s="3">
        <v>14</v>
      </c>
      <c r="C185" s="3"/>
      <c r="D185" s="3">
        <f>F185+G185</f>
      </c>
      <c r="E185" s="3">
        <f>B185-D185</f>
      </c>
      <c r="F185" s="3">
        <v>4</v>
      </c>
      <c r="G185" s="3">
        <v>0</v>
      </c>
      <c r="H185" s="4">
        <f>F185/B185</f>
      </c>
    </row>
    <row r="186" spans="1:8" x14ac:dyDescent="0.25">
      <c r="A186" s="2" t="s">
        <v>171</v>
      </c>
      <c r="B186" s="3">
        <v>32</v>
      </c>
      <c r="C186" s="3"/>
      <c r="D186" s="3">
        <f>F186+G186</f>
      </c>
      <c r="E186" s="3">
        <f>B186-D186</f>
      </c>
      <c r="F186" s="3">
        <v>18</v>
      </c>
      <c r="G186" s="3">
        <v>0</v>
      </c>
      <c r="H186" s="4">
        <f>F186/B186</f>
      </c>
    </row>
    <row r="187" spans="1:8" x14ac:dyDescent="0.25">
      <c r="A187" s="2" t="s">
        <v>172</v>
      </c>
      <c r="B187" s="3">
        <v>12</v>
      </c>
      <c r="C187" s="3"/>
      <c r="D187" s="3">
        <f>F187+G187</f>
      </c>
      <c r="E187" s="3">
        <f>B187-D187</f>
      </c>
      <c r="F187" s="3">
        <v>6</v>
      </c>
      <c r="G187" s="3">
        <v>0</v>
      </c>
      <c r="H187" s="4">
        <f>F187/B187</f>
      </c>
    </row>
    <row r="188" spans="1:8" x14ac:dyDescent="0.25">
      <c r="A188" s="5" t="s">
        <v>12</v>
      </c>
      <c r="B188" s="6">
        <f>SUM(B183:B187)</f>
      </c>
      <c r="C188" s="5"/>
      <c r="D188" s="6">
        <f>SUM(D183:D187)</f>
      </c>
      <c r="E188" s="6">
        <f>SUM(E183:E187)</f>
      </c>
      <c r="F188" s="6">
        <f>SUM(F183:F187)</f>
      </c>
      <c r="G188" s="6">
        <f>SUM(G183:G187)</f>
      </c>
      <c r="H188" s="7">
        <f>F188/B188</f>
      </c>
    </row>
    <row r="189" spans="1:8" x14ac:dyDescent="0.25">
      <c r="A189" s="5" t="s">
        <v>173</v>
      </c>
      <c r="B189" s="6">
        <f>SUM(B166,B172,B177,B182,B188)</f>
      </c>
      <c r="C189" s="5"/>
      <c r="D189" s="6">
        <f>SUM(D166,D172,D177,D182,D188)</f>
      </c>
      <c r="E189" s="6">
        <f>SUM(E166,E172,E177,E182,E188)</f>
      </c>
      <c r="F189" s="6">
        <f>SUM(F166,F172,F177,F182,F188)</f>
      </c>
      <c r="G189" s="6">
        <f>SUM(G166,G172,G177,G182,G188)</f>
      </c>
      <c r="H189" s="7">
        <f>F189/B189</f>
      </c>
    </row>
    <row r="190" spans="1:8" x14ac:dyDescent="0.25">
      <c r="A190" s="2" t="s">
        <v>174</v>
      </c>
      <c r="B190" s="3">
        <v>45</v>
      </c>
      <c r="C190" s="3"/>
      <c r="D190" s="3">
        <f>F190+G190</f>
      </c>
      <c r="E190" s="3">
        <f>B190-D190</f>
      </c>
      <c r="F190" s="3">
        <v>21</v>
      </c>
      <c r="G190" s="3">
        <v>0</v>
      </c>
      <c r="H190" s="4">
        <f>F190/B190</f>
      </c>
    </row>
    <row r="191" spans="1:8" x14ac:dyDescent="0.25">
      <c r="A191" s="2" t="s">
        <v>175</v>
      </c>
      <c r="B191" s="3">
        <v>33</v>
      </c>
      <c r="C191" s="3"/>
      <c r="D191" s="3">
        <f>F191+G191</f>
      </c>
      <c r="E191" s="3">
        <f>B191-D191</f>
      </c>
      <c r="F191" s="3">
        <v>27</v>
      </c>
      <c r="G191" s="3">
        <v>0</v>
      </c>
      <c r="H191" s="4">
        <f>F191/B191</f>
      </c>
    </row>
    <row r="192" spans="1:8" x14ac:dyDescent="0.25">
      <c r="A192" s="5" t="s">
        <v>12</v>
      </c>
      <c r="B192" s="6">
        <f>SUM(B190:B191)</f>
      </c>
      <c r="C192" s="5"/>
      <c r="D192" s="6">
        <f>SUM(D190:D191)</f>
      </c>
      <c r="E192" s="6">
        <f>SUM(E190:E191)</f>
      </c>
      <c r="F192" s="6">
        <f>SUM(F190:F191)</f>
      </c>
      <c r="G192" s="6">
        <f>SUM(G190:G191)</f>
      </c>
      <c r="H192" s="7">
        <f>F192/B192</f>
      </c>
    </row>
    <row r="193" spans="1:8" x14ac:dyDescent="0.25">
      <c r="A193" s="2" t="s">
        <v>176</v>
      </c>
      <c r="B193" s="3">
        <v>38</v>
      </c>
      <c r="C193" s="3"/>
      <c r="D193" s="3">
        <f>F193+G193</f>
      </c>
      <c r="E193" s="3">
        <f>B193-D193</f>
      </c>
      <c r="F193" s="3">
        <v>22</v>
      </c>
      <c r="G193" s="3">
        <v>0</v>
      </c>
      <c r="H193" s="4">
        <f>F193/B193</f>
      </c>
    </row>
    <row r="194" spans="1:8" x14ac:dyDescent="0.25">
      <c r="A194" s="2" t="s">
        <v>177</v>
      </c>
      <c r="B194" s="3">
        <v>14</v>
      </c>
      <c r="C194" s="3"/>
      <c r="D194" s="3">
        <f>F194+G194</f>
      </c>
      <c r="E194" s="3">
        <f>B194-D194</f>
      </c>
      <c r="F194" s="3">
        <v>6</v>
      </c>
      <c r="G194" s="3">
        <v>0</v>
      </c>
      <c r="H194" s="4">
        <f>F194/B194</f>
      </c>
    </row>
    <row r="195" spans="1:8" x14ac:dyDescent="0.25">
      <c r="A195" s="5" t="s">
        <v>12</v>
      </c>
      <c r="B195" s="6">
        <f>SUM(B193:B194)</f>
      </c>
      <c r="C195" s="5"/>
      <c r="D195" s="6">
        <f>SUM(D193:D194)</f>
      </c>
      <c r="E195" s="6">
        <f>SUM(E193:E194)</f>
      </c>
      <c r="F195" s="6">
        <f>SUM(F193:F194)</f>
      </c>
      <c r="G195" s="6">
        <f>SUM(G193:G194)</f>
      </c>
      <c r="H195" s="7">
        <f>F195/B195</f>
      </c>
    </row>
    <row r="196" spans="1:8" x14ac:dyDescent="0.25">
      <c r="A196" s="2" t="s">
        <v>178</v>
      </c>
      <c r="B196" s="3">
        <v>25</v>
      </c>
      <c r="C196" s="3"/>
      <c r="D196" s="3">
        <f>F196+G196</f>
      </c>
      <c r="E196" s="3">
        <f>B196-D196</f>
      </c>
      <c r="F196" s="3">
        <v>15</v>
      </c>
      <c r="G196" s="3">
        <v>0</v>
      </c>
      <c r="H196" s="4">
        <f>F196/B196</f>
      </c>
    </row>
    <row r="197" spans="1:8" x14ac:dyDescent="0.25">
      <c r="A197" s="2" t="s">
        <v>179</v>
      </c>
      <c r="B197" s="3">
        <v>11</v>
      </c>
      <c r="C197" s="3"/>
      <c r="D197" s="3">
        <f>F197+G197</f>
      </c>
      <c r="E197" s="3">
        <f>B197-D197</f>
      </c>
      <c r="F197" s="3">
        <v>9</v>
      </c>
      <c r="G197" s="3">
        <v>0</v>
      </c>
      <c r="H197" s="4">
        <f>F197/B197</f>
      </c>
    </row>
    <row r="198" spans="1:8" x14ac:dyDescent="0.25">
      <c r="A198" s="2" t="s">
        <v>180</v>
      </c>
      <c r="B198" s="3">
        <v>32</v>
      </c>
      <c r="C198" s="3"/>
      <c r="D198" s="3">
        <f>F198+G198</f>
      </c>
      <c r="E198" s="3">
        <f>B198-D198</f>
      </c>
      <c r="F198" s="3">
        <v>19</v>
      </c>
      <c r="G198" s="3">
        <v>0</v>
      </c>
      <c r="H198" s="4">
        <f>F198/B198</f>
      </c>
    </row>
    <row r="199" spans="1:8" x14ac:dyDescent="0.25">
      <c r="A199" s="2" t="s">
        <v>181</v>
      </c>
      <c r="B199" s="3" t="s">
        <v>47</v>
      </c>
      <c r="C199" s="3">
        <v>21</v>
      </c>
      <c r="D199" s="3">
        <f>F199+G199</f>
      </c>
      <c r="E199" s="3">
        <f>C199-D199</f>
      </c>
      <c r="F199" s="3">
        <v>9</v>
      </c>
      <c r="G199" s="3">
        <v>0</v>
      </c>
      <c r="H199" s="4">
        <f>F199/C199</f>
      </c>
    </row>
    <row r="200" spans="1:8" x14ac:dyDescent="0.25">
      <c r="A200" s="2" t="s">
        <v>182</v>
      </c>
      <c r="B200" s="3">
        <v>19</v>
      </c>
      <c r="C200" s="3"/>
      <c r="D200" s="3">
        <f>F200+G200</f>
      </c>
      <c r="E200" s="3">
        <f>B200-D200</f>
      </c>
      <c r="F200" s="3">
        <v>8</v>
      </c>
      <c r="G200" s="3">
        <v>0</v>
      </c>
      <c r="H200" s="4">
        <f>F200/B200</f>
      </c>
    </row>
    <row r="201" spans="1:8" x14ac:dyDescent="0.25">
      <c r="A201" s="2" t="s">
        <v>183</v>
      </c>
      <c r="B201" s="3">
        <v>19</v>
      </c>
      <c r="C201" s="3"/>
      <c r="D201" s="3">
        <f>F201+G201</f>
      </c>
      <c r="E201" s="3">
        <f>B201-D201</f>
      </c>
      <c r="F201" s="3">
        <v>12</v>
      </c>
      <c r="G201" s="3">
        <v>0</v>
      </c>
      <c r="H201" s="4">
        <f>F201/B201</f>
      </c>
    </row>
    <row r="202" spans="1:8" x14ac:dyDescent="0.25">
      <c r="A202" s="5" t="s">
        <v>12</v>
      </c>
      <c r="B202" s="6">
        <f>SUM(B196:B201)</f>
      </c>
      <c r="C202" s="5"/>
      <c r="D202" s="6">
        <f>SUM(D196:D201)</f>
      </c>
      <c r="E202" s="6">
        <f>SUM(E196:E201)</f>
      </c>
      <c r="F202" s="6">
        <f>SUM(F196:F201)</f>
      </c>
      <c r="G202" s="6">
        <f>SUM(G196:G201)</f>
      </c>
      <c r="H202" s="7">
        <f>F202/B202</f>
      </c>
    </row>
    <row r="203" spans="1:8" x14ac:dyDescent="0.25">
      <c r="A203" s="2" t="s">
        <v>184</v>
      </c>
      <c r="B203" s="3">
        <v>31</v>
      </c>
      <c r="C203" s="3"/>
      <c r="D203" s="3">
        <f>F203+G203</f>
      </c>
      <c r="E203" s="3">
        <f>B203-D203</f>
      </c>
      <c r="F203" s="3">
        <v>15</v>
      </c>
      <c r="G203" s="3">
        <v>0</v>
      </c>
      <c r="H203" s="4">
        <f>F203/B203</f>
      </c>
    </row>
    <row r="204" spans="1:8" x14ac:dyDescent="0.25">
      <c r="A204" s="2" t="s">
        <v>185</v>
      </c>
      <c r="B204" s="3">
        <v>8</v>
      </c>
      <c r="C204" s="3"/>
      <c r="D204" s="3">
        <f>F204+G204</f>
      </c>
      <c r="E204" s="3">
        <f>B204-D204</f>
      </c>
      <c r="F204" s="3">
        <v>5</v>
      </c>
      <c r="G204" s="3">
        <v>0</v>
      </c>
      <c r="H204" s="4">
        <f>F204/B204</f>
      </c>
    </row>
    <row r="205" spans="1:8" x14ac:dyDescent="0.25">
      <c r="A205" s="2" t="s">
        <v>23</v>
      </c>
      <c r="B205" s="3">
        <v>34</v>
      </c>
      <c r="C205" s="3"/>
      <c r="D205" s="3">
        <f>F205+G205</f>
      </c>
      <c r="E205" s="3">
        <f>B205-D205</f>
      </c>
      <c r="F205" s="3">
        <v>18</v>
      </c>
      <c r="G205" s="3">
        <v>0</v>
      </c>
      <c r="H205" s="4">
        <f>F205/B205</f>
      </c>
    </row>
    <row r="206" spans="1:8" x14ac:dyDescent="0.25">
      <c r="A206" s="2" t="s">
        <v>186</v>
      </c>
      <c r="B206" s="3">
        <v>29</v>
      </c>
      <c r="C206" s="3"/>
      <c r="D206" s="3">
        <f>F206+G206</f>
      </c>
      <c r="E206" s="3">
        <f>B206-D206</f>
      </c>
      <c r="F206" s="3">
        <v>12</v>
      </c>
      <c r="G206" s="3">
        <v>0</v>
      </c>
      <c r="H206" s="4">
        <f>F206/B206</f>
      </c>
    </row>
    <row r="207" spans="1:8" x14ac:dyDescent="0.25">
      <c r="A207" s="2" t="s">
        <v>187</v>
      </c>
      <c r="B207" s="3">
        <v>32</v>
      </c>
      <c r="C207" s="3"/>
      <c r="D207" s="3">
        <f>F207+G207</f>
      </c>
      <c r="E207" s="3">
        <f>B207-D207</f>
      </c>
      <c r="F207" s="3">
        <v>18</v>
      </c>
      <c r="G207" s="3">
        <v>0</v>
      </c>
      <c r="H207" s="4">
        <f>F207/B207</f>
      </c>
    </row>
    <row r="208" spans="1:8" x14ac:dyDescent="0.25">
      <c r="A208" s="2" t="s">
        <v>188</v>
      </c>
      <c r="B208" s="3">
        <v>9</v>
      </c>
      <c r="C208" s="3"/>
      <c r="D208" s="3">
        <f>F208+G208</f>
      </c>
      <c r="E208" s="3">
        <f>B208-D208</f>
      </c>
      <c r="F208" s="3">
        <v>6</v>
      </c>
      <c r="G208" s="3">
        <v>0</v>
      </c>
      <c r="H208" s="4">
        <f>F208/B208</f>
      </c>
    </row>
    <row r="209" spans="1:8" x14ac:dyDescent="0.25">
      <c r="A209" s="5" t="s">
        <v>12</v>
      </c>
      <c r="B209" s="6">
        <f>SUM(B203:B208)</f>
      </c>
      <c r="C209" s="5"/>
      <c r="D209" s="6">
        <f>SUM(D203:D208)</f>
      </c>
      <c r="E209" s="6">
        <f>SUM(E203:E208)</f>
      </c>
      <c r="F209" s="6">
        <f>SUM(F203:F208)</f>
      </c>
      <c r="G209" s="6">
        <f>SUM(G203:G208)</f>
      </c>
      <c r="H209" s="7">
        <f>F209/B209</f>
      </c>
    </row>
    <row r="210" spans="1:8" x14ac:dyDescent="0.25">
      <c r="A210" s="5" t="s">
        <v>189</v>
      </c>
      <c r="B210" s="6">
        <f>SUM(B192,B195,B202,B209)</f>
      </c>
      <c r="C210" s="5"/>
      <c r="D210" s="6">
        <f>SUM(D192,D195,D202,D209)</f>
      </c>
      <c r="E210" s="6">
        <f>SUM(E192,E195,E202,E209)</f>
      </c>
      <c r="F210" s="6">
        <f>SUM(F192,F195,F202,F209)</f>
      </c>
      <c r="G210" s="6">
        <f>SUM(G192,G195,G202,G209)</f>
      </c>
      <c r="H210" s="7">
        <f>F210/B210</f>
      </c>
    </row>
    <row r="211" spans="1:8" x14ac:dyDescent="0.25">
      <c r="A211" s="2" t="s">
        <v>190</v>
      </c>
      <c r="B211" s="3">
        <v>41</v>
      </c>
      <c r="C211" s="3"/>
      <c r="D211" s="3">
        <f>F211+G211</f>
      </c>
      <c r="E211" s="3">
        <f>B211-D211</f>
      </c>
      <c r="F211" s="3">
        <v>19</v>
      </c>
      <c r="G211" s="3">
        <v>0</v>
      </c>
      <c r="H211" s="4">
        <f>F211/B211</f>
      </c>
    </row>
    <row r="212" spans="1:8" x14ac:dyDescent="0.25">
      <c r="A212" s="2" t="s">
        <v>191</v>
      </c>
      <c r="B212" s="3">
        <v>26</v>
      </c>
      <c r="C212" s="3"/>
      <c r="D212" s="3">
        <f>F212+G212</f>
      </c>
      <c r="E212" s="3">
        <f>B212-D212</f>
      </c>
      <c r="F212" s="3">
        <v>16</v>
      </c>
      <c r="G212" s="3">
        <v>0</v>
      </c>
      <c r="H212" s="4">
        <f>F212/B212</f>
      </c>
    </row>
    <row r="213" spans="1:8" x14ac:dyDescent="0.25">
      <c r="A213" s="2" t="s">
        <v>192</v>
      </c>
      <c r="B213" s="3">
        <v>35</v>
      </c>
      <c r="C213" s="3"/>
      <c r="D213" s="3">
        <f>F213+G213</f>
      </c>
      <c r="E213" s="3">
        <f>B213-D213</f>
      </c>
      <c r="F213" s="3">
        <v>22</v>
      </c>
      <c r="G213" s="3">
        <v>0</v>
      </c>
      <c r="H213" s="4">
        <f>F213/B213</f>
      </c>
    </row>
    <row r="214" spans="1:8" x14ac:dyDescent="0.25">
      <c r="A214" s="2" t="s">
        <v>193</v>
      </c>
      <c r="B214" s="3" t="s">
        <v>194</v>
      </c>
      <c r="C214" s="3">
        <v>52</v>
      </c>
      <c r="D214" s="3">
        <f>F214+G214</f>
      </c>
      <c r="E214" s="3">
        <f>C214-D214</f>
      </c>
      <c r="F214" s="3">
        <v>27</v>
      </c>
      <c r="G214" s="3">
        <v>0</v>
      </c>
      <c r="H214" s="4">
        <f>F214/C214</f>
      </c>
    </row>
    <row r="215" spans="1:8" x14ac:dyDescent="0.25">
      <c r="A215" s="5" t="s">
        <v>12</v>
      </c>
      <c r="B215" s="6">
        <f>SUM(B211:B214)</f>
      </c>
      <c r="C215" s="5"/>
      <c r="D215" s="6">
        <f>SUM(D211:D214)</f>
      </c>
      <c r="E215" s="6">
        <f>SUM(E211:E214)</f>
      </c>
      <c r="F215" s="6">
        <f>SUM(F211:F214)</f>
      </c>
      <c r="G215" s="6">
        <f>SUM(G211:G214)</f>
      </c>
      <c r="H215" s="7">
        <f>F215/B215</f>
      </c>
    </row>
    <row r="216" spans="1:8" x14ac:dyDescent="0.25">
      <c r="A216" s="2" t="s">
        <v>195</v>
      </c>
      <c r="B216" s="3">
        <v>39</v>
      </c>
      <c r="C216" s="3"/>
      <c r="D216" s="3">
        <f>F216+G216</f>
      </c>
      <c r="E216" s="3">
        <f>B216-D216</f>
      </c>
      <c r="F216" s="3">
        <v>12</v>
      </c>
      <c r="G216" s="3">
        <v>0</v>
      </c>
      <c r="H216" s="4">
        <f>F216/B216</f>
      </c>
    </row>
    <row r="217" spans="1:8" x14ac:dyDescent="0.25">
      <c r="A217" s="2" t="s">
        <v>196</v>
      </c>
      <c r="B217" s="3">
        <v>34</v>
      </c>
      <c r="C217" s="3"/>
      <c r="D217" s="3">
        <f>F217+G217</f>
      </c>
      <c r="E217" s="3">
        <f>B217-D217</f>
      </c>
      <c r="F217" s="3">
        <v>10</v>
      </c>
      <c r="G217" s="3">
        <v>0</v>
      </c>
      <c r="H217" s="4">
        <f>F217/B217</f>
      </c>
    </row>
    <row r="218" spans="1:8" x14ac:dyDescent="0.25">
      <c r="A218" s="2" t="s">
        <v>197</v>
      </c>
      <c r="B218" s="3">
        <v>11</v>
      </c>
      <c r="C218" s="3"/>
      <c r="D218" s="3">
        <f>F218+G218</f>
      </c>
      <c r="E218" s="3">
        <f>B218-D218</f>
      </c>
      <c r="F218" s="3">
        <v>8</v>
      </c>
      <c r="G218" s="3">
        <v>0</v>
      </c>
      <c r="H218" s="4">
        <f>F218/B218</f>
      </c>
    </row>
    <row r="219" spans="1:8" x14ac:dyDescent="0.25">
      <c r="A219" s="5" t="s">
        <v>12</v>
      </c>
      <c r="B219" s="6">
        <f>SUM(B216:B218)</f>
      </c>
      <c r="C219" s="5"/>
      <c r="D219" s="6">
        <f>SUM(D216:D218)</f>
      </c>
      <c r="E219" s="6">
        <f>SUM(E216:E218)</f>
      </c>
      <c r="F219" s="6">
        <f>SUM(F216:F218)</f>
      </c>
      <c r="G219" s="6">
        <f>SUM(G216:G218)</f>
      </c>
      <c r="H219" s="7">
        <f>F219/B219</f>
      </c>
    </row>
    <row r="220" spans="1:8" x14ac:dyDescent="0.25">
      <c r="A220" s="2" t="s">
        <v>198</v>
      </c>
      <c r="B220" s="3">
        <v>24</v>
      </c>
      <c r="C220" s="3"/>
      <c r="D220" s="3">
        <f>F220+G220</f>
      </c>
      <c r="E220" s="3">
        <f>B220-D220</f>
      </c>
      <c r="F220" s="3">
        <v>20</v>
      </c>
      <c r="G220" s="3">
        <v>0</v>
      </c>
      <c r="H220" s="4">
        <f>F220/B220</f>
      </c>
    </row>
    <row r="221" spans="1:8" x14ac:dyDescent="0.25">
      <c r="A221" s="2" t="s">
        <v>199</v>
      </c>
      <c r="B221" s="3">
        <v>15</v>
      </c>
      <c r="C221" s="3"/>
      <c r="D221" s="3">
        <f>F221+G221</f>
      </c>
      <c r="E221" s="3">
        <f>B221-D221</f>
      </c>
      <c r="F221" s="3">
        <v>6</v>
      </c>
      <c r="G221" s="3">
        <v>0</v>
      </c>
      <c r="H221" s="4">
        <f>F221/B221</f>
      </c>
    </row>
    <row r="222" spans="1:8" x14ac:dyDescent="0.25">
      <c r="A222" s="2" t="s">
        <v>200</v>
      </c>
      <c r="B222" s="3" t="s">
        <v>201</v>
      </c>
      <c r="C222" s="3">
        <v>15</v>
      </c>
      <c r="D222" s="3">
        <f>F222+G222</f>
      </c>
      <c r="E222" s="3">
        <f>C222-D222</f>
      </c>
      <c r="F222" s="3">
        <v>10</v>
      </c>
      <c r="G222" s="3">
        <v>0</v>
      </c>
      <c r="H222" s="4">
        <f>F222/C222</f>
      </c>
    </row>
    <row r="223" spans="1:8" x14ac:dyDescent="0.25">
      <c r="A223" s="2" t="s">
        <v>202</v>
      </c>
      <c r="B223" s="3">
        <v>9</v>
      </c>
      <c r="C223" s="3"/>
      <c r="D223" s="3">
        <f>F223+G223</f>
      </c>
      <c r="E223" s="3">
        <f>B223-D223</f>
      </c>
      <c r="F223" s="3">
        <v>1</v>
      </c>
      <c r="G223" s="3">
        <v>0</v>
      </c>
      <c r="H223" s="4">
        <f>F223/B223</f>
      </c>
    </row>
    <row r="224" spans="1:8" x14ac:dyDescent="0.25">
      <c r="A224" s="5" t="s">
        <v>12</v>
      </c>
      <c r="B224" s="6">
        <f>SUM(B220:B223)</f>
      </c>
      <c r="C224" s="5"/>
      <c r="D224" s="6">
        <f>SUM(D220:D223)</f>
      </c>
      <c r="E224" s="6">
        <f>SUM(E220:E223)</f>
      </c>
      <c r="F224" s="6">
        <f>SUM(F220:F223)</f>
      </c>
      <c r="G224" s="6">
        <f>SUM(G220:G223)</f>
      </c>
      <c r="H224" s="7">
        <f>F224/B224</f>
      </c>
    </row>
    <row r="225" spans="1:8" x14ac:dyDescent="0.25">
      <c r="A225" s="2" t="s">
        <v>203</v>
      </c>
      <c r="B225" s="3">
        <v>20</v>
      </c>
      <c r="C225" s="3"/>
      <c r="D225" s="3">
        <f>F225+G225</f>
      </c>
      <c r="E225" s="3">
        <f>B225-D225</f>
      </c>
      <c r="F225" s="3">
        <v>9</v>
      </c>
      <c r="G225" s="3">
        <v>0</v>
      </c>
      <c r="H225" s="4">
        <f>F225/B225</f>
      </c>
    </row>
    <row r="226" spans="1:8" x14ac:dyDescent="0.25">
      <c r="A226" s="2" t="s">
        <v>204</v>
      </c>
      <c r="B226" s="3">
        <v>35</v>
      </c>
      <c r="C226" s="3"/>
      <c r="D226" s="3">
        <f>F226+G226</f>
      </c>
      <c r="E226" s="3">
        <f>B226-D226</f>
      </c>
      <c r="F226" s="3">
        <v>13</v>
      </c>
      <c r="G226" s="3">
        <v>0</v>
      </c>
      <c r="H226" s="4">
        <f>F226/B226</f>
      </c>
    </row>
    <row r="227" spans="1:8" x14ac:dyDescent="0.25">
      <c r="A227" s="2" t="s">
        <v>205</v>
      </c>
      <c r="B227" s="3">
        <v>19</v>
      </c>
      <c r="C227" s="3"/>
      <c r="D227" s="3">
        <f>F227+G227</f>
      </c>
      <c r="E227" s="3">
        <f>B227-D227</f>
      </c>
      <c r="F227" s="3">
        <v>12</v>
      </c>
      <c r="G227" s="3">
        <v>0</v>
      </c>
      <c r="H227" s="4">
        <f>F227/B227</f>
      </c>
    </row>
    <row r="228" spans="1:8" x14ac:dyDescent="0.25">
      <c r="A228" s="2" t="s">
        <v>206</v>
      </c>
      <c r="B228" s="3">
        <v>14</v>
      </c>
      <c r="C228" s="3"/>
      <c r="D228" s="3">
        <f>F228+G228</f>
      </c>
      <c r="E228" s="3">
        <f>B228-D228</f>
      </c>
      <c r="F228" s="3">
        <v>4</v>
      </c>
      <c r="G228" s="3">
        <v>0</v>
      </c>
      <c r="H228" s="4">
        <f>F228/B228</f>
      </c>
    </row>
    <row r="229" spans="1:8" x14ac:dyDescent="0.25">
      <c r="A229" s="2" t="s">
        <v>207</v>
      </c>
      <c r="B229" s="3">
        <v>14</v>
      </c>
      <c r="C229" s="3"/>
      <c r="D229" s="3">
        <f>F229+G229</f>
      </c>
      <c r="E229" s="3">
        <f>B229-D229</f>
      </c>
      <c r="F229" s="3">
        <v>3</v>
      </c>
      <c r="G229" s="3">
        <v>0</v>
      </c>
      <c r="H229" s="4">
        <f>F229/B229</f>
      </c>
    </row>
    <row r="230" spans="1:8" x14ac:dyDescent="0.25">
      <c r="A230" s="5" t="s">
        <v>12</v>
      </c>
      <c r="B230" s="6">
        <f>SUM(B225:B229)</f>
      </c>
      <c r="C230" s="5"/>
      <c r="D230" s="6">
        <f>SUM(D225:D229)</f>
      </c>
      <c r="E230" s="6">
        <f>SUM(E225:E229)</f>
      </c>
      <c r="F230" s="6">
        <f>SUM(F225:F229)</f>
      </c>
      <c r="G230" s="6">
        <f>SUM(G225:G229)</f>
      </c>
      <c r="H230" s="7">
        <f>F230/B230</f>
      </c>
    </row>
    <row r="231" spans="1:8" x14ac:dyDescent="0.25">
      <c r="A231" s="5" t="s">
        <v>208</v>
      </c>
      <c r="B231" s="6">
        <f>SUM(B215,B219,B224,B230)</f>
      </c>
      <c r="C231" s="5"/>
      <c r="D231" s="6">
        <f>SUM(D215,D219,D224,D230)</f>
      </c>
      <c r="E231" s="6">
        <f>SUM(E215,E219,E224,E230)</f>
      </c>
      <c r="F231" s="6">
        <f>SUM(F215,F219,F224,F230)</f>
      </c>
      <c r="G231" s="6">
        <f>SUM(G215,G219,G224,G230)</f>
      </c>
      <c r="H231" s="7">
        <f>F231/B231</f>
      </c>
    </row>
    <row r="232" spans="1:8" x14ac:dyDescent="0.25">
      <c r="A232" s="2" t="s">
        <v>209</v>
      </c>
      <c r="B232" s="3">
        <v>8</v>
      </c>
      <c r="C232" s="3"/>
      <c r="D232" s="3">
        <f>F232+G232</f>
      </c>
      <c r="E232" s="3">
        <f>B232-D232</f>
      </c>
      <c r="F232" s="3">
        <v>3</v>
      </c>
      <c r="G232" s="3">
        <v>0</v>
      </c>
      <c r="H232" s="4">
        <f>F232/B232</f>
      </c>
    </row>
    <row r="233" spans="1:8" x14ac:dyDescent="0.25">
      <c r="A233" s="2" t="s">
        <v>210</v>
      </c>
      <c r="B233" s="3" t="s">
        <v>211</v>
      </c>
      <c r="C233" s="3">
        <v>16</v>
      </c>
      <c r="D233" s="3">
        <f>F233+G233</f>
      </c>
      <c r="E233" s="3">
        <f>C233-D233</f>
      </c>
      <c r="F233" s="3">
        <v>5</v>
      </c>
      <c r="G233" s="3">
        <v>0</v>
      </c>
      <c r="H233" s="4">
        <f>F233/C233</f>
      </c>
    </row>
    <row r="234" spans="1:8" x14ac:dyDescent="0.25">
      <c r="A234" s="2" t="s">
        <v>212</v>
      </c>
      <c r="B234" s="3">
        <v>33</v>
      </c>
      <c r="C234" s="3"/>
      <c r="D234" s="3">
        <f>F234+G234</f>
      </c>
      <c r="E234" s="3">
        <f>B234-D234</f>
      </c>
      <c r="F234" s="3">
        <v>14</v>
      </c>
      <c r="G234" s="3">
        <v>0</v>
      </c>
      <c r="H234" s="4">
        <f>F234/B234</f>
      </c>
    </row>
    <row r="235" spans="1:8" x14ac:dyDescent="0.25">
      <c r="A235" s="5" t="s">
        <v>12</v>
      </c>
      <c r="B235" s="6">
        <f>SUM(B232:B234)</f>
      </c>
      <c r="C235" s="5"/>
      <c r="D235" s="6">
        <f>SUM(D232:D234)</f>
      </c>
      <c r="E235" s="6">
        <f>SUM(E232:E234)</f>
      </c>
      <c r="F235" s="6">
        <f>SUM(F232:F234)</f>
      </c>
      <c r="G235" s="6">
        <f>SUM(G232:G234)</f>
      </c>
      <c r="H235" s="7">
        <f>F235/B235</f>
      </c>
    </row>
    <row r="236" spans="1:8" x14ac:dyDescent="0.25">
      <c r="A236" s="2" t="s">
        <v>213</v>
      </c>
      <c r="B236" s="3">
        <v>15</v>
      </c>
      <c r="C236" s="3"/>
      <c r="D236" s="3">
        <f>F236+G236</f>
      </c>
      <c r="E236" s="3">
        <f>B236-D236</f>
      </c>
      <c r="F236" s="3">
        <v>11</v>
      </c>
      <c r="G236" s="3">
        <v>0</v>
      </c>
      <c r="H236" s="4">
        <f>F236/B236</f>
      </c>
    </row>
    <row r="237" spans="1:8" x14ac:dyDescent="0.25">
      <c r="A237" s="2" t="s">
        <v>214</v>
      </c>
      <c r="B237" s="3">
        <v>8</v>
      </c>
      <c r="C237" s="3"/>
      <c r="D237" s="3">
        <f>F237+G237</f>
      </c>
      <c r="E237" s="3">
        <f>B237-D237</f>
      </c>
      <c r="F237" s="3">
        <v>4</v>
      </c>
      <c r="G237" s="3">
        <v>0</v>
      </c>
      <c r="H237" s="4">
        <f>F237/B237</f>
      </c>
    </row>
    <row r="238" spans="1:8" x14ac:dyDescent="0.25">
      <c r="A238" s="2" t="s">
        <v>215</v>
      </c>
      <c r="B238" s="3">
        <v>15</v>
      </c>
      <c r="C238" s="3"/>
      <c r="D238" s="3">
        <f>F238+G238</f>
      </c>
      <c r="E238" s="3">
        <f>B238-D238</f>
      </c>
      <c r="F238" s="3">
        <v>13</v>
      </c>
      <c r="G238" s="3">
        <v>0</v>
      </c>
      <c r="H238" s="4">
        <f>F238/B238</f>
      </c>
    </row>
    <row r="239" spans="1:8" x14ac:dyDescent="0.25">
      <c r="A239" s="5" t="s">
        <v>12</v>
      </c>
      <c r="B239" s="6">
        <f>SUM(B236:B238)</f>
      </c>
      <c r="C239" s="5"/>
      <c r="D239" s="6">
        <f>SUM(D236:D238)</f>
      </c>
      <c r="E239" s="6">
        <f>SUM(E236:E238)</f>
      </c>
      <c r="F239" s="6">
        <f>SUM(F236:F238)</f>
      </c>
      <c r="G239" s="6">
        <f>SUM(G236:G238)</f>
      </c>
      <c r="H239" s="7">
        <f>F239/B239</f>
      </c>
    </row>
    <row r="240" spans="1:8" x14ac:dyDescent="0.25">
      <c r="A240" s="2" t="s">
        <v>216</v>
      </c>
      <c r="B240" s="3" t="s">
        <v>217</v>
      </c>
      <c r="C240" s="3">
        <v>19</v>
      </c>
      <c r="D240" s="3">
        <f>F240+G240</f>
      </c>
      <c r="E240" s="3">
        <f>C240-D240</f>
      </c>
      <c r="F240" s="3">
        <v>1</v>
      </c>
      <c r="G240" s="3">
        <v>0</v>
      </c>
      <c r="H240" s="4">
        <f>F240/C240</f>
      </c>
    </row>
    <row r="241" spans="1:8" x14ac:dyDescent="0.25">
      <c r="A241" s="2" t="s">
        <v>218</v>
      </c>
      <c r="B241" s="3" t="s">
        <v>219</v>
      </c>
      <c r="C241" s="3">
        <v>12</v>
      </c>
      <c r="D241" s="3">
        <f>F241+G241</f>
      </c>
      <c r="E241" s="3">
        <f>C241-D241</f>
      </c>
      <c r="F241" s="3">
        <v>0</v>
      </c>
      <c r="G241" s="3">
        <v>0</v>
      </c>
      <c r="H241" s="4">
        <f>F241/C241</f>
      </c>
    </row>
    <row r="242" spans="1:8" x14ac:dyDescent="0.25">
      <c r="A242" s="2" t="s">
        <v>220</v>
      </c>
      <c r="B242" s="3" t="s">
        <v>221</v>
      </c>
      <c r="C242" s="3">
        <v>15</v>
      </c>
      <c r="D242" s="3">
        <f>F242+G242</f>
      </c>
      <c r="E242" s="3">
        <f>C242-D242</f>
      </c>
      <c r="F242" s="3">
        <v>0</v>
      </c>
      <c r="G242" s="3">
        <v>0</v>
      </c>
      <c r="H242" s="4">
        <f>F242/C242</f>
      </c>
    </row>
    <row r="243" spans="1:8" x14ac:dyDescent="0.25">
      <c r="A243" s="5" t="s">
        <v>12</v>
      </c>
      <c r="B243" s="6">
        <f>SUM(B240:B242)</f>
      </c>
      <c r="C243" s="5"/>
      <c r="D243" s="6">
        <f>SUM(D240:D242)</f>
      </c>
      <c r="E243" s="6">
        <f>SUM(E240:E242)</f>
      </c>
      <c r="F243" s="6">
        <f>SUM(F240:F242)</f>
      </c>
      <c r="G243" s="6">
        <f>SUM(G240:G242)</f>
      </c>
      <c r="H243" s="7">
        <f>F243/B243</f>
      </c>
    </row>
    <row r="244" spans="1:8" x14ac:dyDescent="0.25">
      <c r="A244" s="2" t="s">
        <v>222</v>
      </c>
      <c r="B244" s="3" t="s">
        <v>223</v>
      </c>
      <c r="C244" s="3">
        <v>19</v>
      </c>
      <c r="D244" s="3">
        <f>F244+G244</f>
      </c>
      <c r="E244" s="3">
        <f>C244-D244</f>
      </c>
      <c r="F244" s="3">
        <v>6</v>
      </c>
      <c r="G244" s="3">
        <v>0</v>
      </c>
      <c r="H244" s="4">
        <f>F244/C244</f>
      </c>
    </row>
    <row r="245" spans="1:8" x14ac:dyDescent="0.25">
      <c r="A245" s="2" t="s">
        <v>224</v>
      </c>
      <c r="B245" s="3" t="s">
        <v>225</v>
      </c>
      <c r="C245" s="3">
        <v>13</v>
      </c>
      <c r="D245" s="3">
        <f>F245+G245</f>
      </c>
      <c r="E245" s="3">
        <f>C245-D245</f>
      </c>
      <c r="F245" s="3">
        <v>1</v>
      </c>
      <c r="G245" s="3">
        <v>0</v>
      </c>
      <c r="H245" s="4">
        <f>F245/C245</f>
      </c>
    </row>
    <row r="246" spans="1:8" x14ac:dyDescent="0.25">
      <c r="A246" s="2" t="s">
        <v>226</v>
      </c>
      <c r="B246" s="3" t="s">
        <v>219</v>
      </c>
      <c r="C246" s="3">
        <v>12</v>
      </c>
      <c r="D246" s="3">
        <f>F246+G246</f>
      </c>
      <c r="E246" s="3">
        <f>C246-D246</f>
      </c>
      <c r="F246" s="3">
        <v>1</v>
      </c>
      <c r="G246" s="3">
        <v>0</v>
      </c>
      <c r="H246" s="4">
        <f>F246/C246</f>
      </c>
    </row>
    <row r="247" spans="1:8" x14ac:dyDescent="0.25">
      <c r="A247" s="2" t="s">
        <v>227</v>
      </c>
      <c r="B247" s="3">
        <v>7</v>
      </c>
      <c r="C247" s="3"/>
      <c r="D247" s="3">
        <f>F247+G247</f>
      </c>
      <c r="E247" s="3">
        <f>B247-D247</f>
      </c>
      <c r="F247" s="3">
        <v>0</v>
      </c>
      <c r="G247" s="3">
        <v>0</v>
      </c>
      <c r="H247" s="4">
        <f>F247/B247</f>
      </c>
    </row>
    <row r="248" spans="1:8" x14ac:dyDescent="0.25">
      <c r="A248" s="5" t="s">
        <v>12</v>
      </c>
      <c r="B248" s="6">
        <f>SUM(B244:B247)</f>
      </c>
      <c r="C248" s="5"/>
      <c r="D248" s="6">
        <f>SUM(D244:D247)</f>
      </c>
      <c r="E248" s="6">
        <f>SUM(E244:E247)</f>
      </c>
      <c r="F248" s="6">
        <f>SUM(F244:F247)</f>
      </c>
      <c r="G248" s="6">
        <f>SUM(G244:G247)</f>
      </c>
      <c r="H248" s="7">
        <f>F248/B248</f>
      </c>
    </row>
    <row r="249" spans="1:8" x14ac:dyDescent="0.25">
      <c r="A249" s="2" t="s">
        <v>228</v>
      </c>
      <c r="B249" s="3">
        <v>17</v>
      </c>
      <c r="C249" s="3"/>
      <c r="D249" s="3">
        <f>F249+G249</f>
      </c>
      <c r="E249" s="3">
        <f>B249-D249</f>
      </c>
      <c r="F249" s="3">
        <v>1</v>
      </c>
      <c r="G249" s="3">
        <v>0</v>
      </c>
      <c r="H249" s="4">
        <f>F249/B249</f>
      </c>
    </row>
    <row r="250" spans="1:8" x14ac:dyDescent="0.25">
      <c r="A250" s="2" t="s">
        <v>229</v>
      </c>
      <c r="B250" s="3">
        <v>10</v>
      </c>
      <c r="C250" s="3"/>
      <c r="D250" s="3">
        <f>F250+G250</f>
      </c>
      <c r="E250" s="3">
        <f>B250-D250</f>
      </c>
      <c r="F250" s="3">
        <v>3</v>
      </c>
      <c r="G250" s="3">
        <v>0</v>
      </c>
      <c r="H250" s="4">
        <f>F250/B250</f>
      </c>
    </row>
    <row r="251" spans="1:8" x14ac:dyDescent="0.25">
      <c r="A251" s="2" t="s">
        <v>230</v>
      </c>
      <c r="B251" s="3" t="s">
        <v>225</v>
      </c>
      <c r="C251" s="3">
        <v>13</v>
      </c>
      <c r="D251" s="3">
        <f>F251+G251</f>
      </c>
      <c r="E251" s="3">
        <f>C251-D251</f>
      </c>
      <c r="F251" s="3">
        <v>3</v>
      </c>
      <c r="G251" s="3">
        <v>0</v>
      </c>
      <c r="H251" s="4">
        <f>F251/C251</f>
      </c>
    </row>
    <row r="252" spans="1:8" x14ac:dyDescent="0.25">
      <c r="A252" s="5" t="s">
        <v>12</v>
      </c>
      <c r="B252" s="6">
        <f>SUM(B249:B251)</f>
      </c>
      <c r="C252" s="5"/>
      <c r="D252" s="6">
        <f>SUM(D249:D251)</f>
      </c>
      <c r="E252" s="6">
        <f>SUM(E249:E251)</f>
      </c>
      <c r="F252" s="6">
        <f>SUM(F249:F251)</f>
      </c>
      <c r="G252" s="6">
        <f>SUM(G249:G251)</f>
      </c>
      <c r="H252" s="7">
        <f>F252/B252</f>
      </c>
    </row>
    <row r="253" spans="1:8" x14ac:dyDescent="0.25">
      <c r="A253" s="5" t="s">
        <v>231</v>
      </c>
      <c r="B253" s="6">
        <f>SUM(B235,B239,B243,B248,B252)</f>
      </c>
      <c r="C253" s="5"/>
      <c r="D253" s="6">
        <f>SUM(D235,D239,D243,D248,D252)</f>
      </c>
      <c r="E253" s="6">
        <f>SUM(E235,E239,E243,E248,E252)</f>
      </c>
      <c r="F253" s="6">
        <f>SUM(F235,F239,F243,F248,F252)</f>
      </c>
      <c r="G253" s="6">
        <f>SUM(G235,G239,G243,G248,G252)</f>
      </c>
      <c r="H253" s="7">
        <f>F253/B253</f>
      </c>
    </row>
    <row r="254" spans="1:8" x14ac:dyDescent="0.25">
      <c r="A254" s="2" t="s">
        <v>232</v>
      </c>
      <c r="B254" s="3">
        <v>21</v>
      </c>
      <c r="C254" s="3"/>
      <c r="D254" s="3">
        <f>F254+G254</f>
      </c>
      <c r="E254" s="3">
        <f>B254-D254</f>
      </c>
      <c r="F254" s="3">
        <v>4</v>
      </c>
      <c r="G254" s="3">
        <v>0</v>
      </c>
      <c r="H254" s="4">
        <f>F254/B254</f>
      </c>
    </row>
    <row r="255" spans="1:8" x14ac:dyDescent="0.25">
      <c r="A255" s="2" t="s">
        <v>233</v>
      </c>
      <c r="B255" s="3">
        <v>33</v>
      </c>
      <c r="C255" s="3"/>
      <c r="D255" s="3">
        <f>F255+G255</f>
      </c>
      <c r="E255" s="3">
        <f>B255-D255</f>
      </c>
      <c r="F255" s="3">
        <v>11</v>
      </c>
      <c r="G255" s="3">
        <v>0</v>
      </c>
      <c r="H255" s="4">
        <f>F255/B255</f>
      </c>
    </row>
    <row r="256" spans="1:8" x14ac:dyDescent="0.25">
      <c r="A256" s="2" t="s">
        <v>234</v>
      </c>
      <c r="B256" s="3" t="s">
        <v>235</v>
      </c>
      <c r="C256" s="3">
        <v>16</v>
      </c>
      <c r="D256" s="3">
        <f>F256+G256</f>
      </c>
      <c r="E256" s="3">
        <f>C256-D256</f>
      </c>
      <c r="F256" s="3">
        <v>3</v>
      </c>
      <c r="G256" s="3">
        <v>0</v>
      </c>
      <c r="H256" s="4">
        <f>F256/C256</f>
      </c>
    </row>
    <row r="257" spans="1:8" x14ac:dyDescent="0.25">
      <c r="A257" s="2" t="s">
        <v>236</v>
      </c>
      <c r="B257" s="3">
        <v>23</v>
      </c>
      <c r="C257" s="3"/>
      <c r="D257" s="3">
        <f>F257+G257</f>
      </c>
      <c r="E257" s="3">
        <f>B257-D257</f>
      </c>
      <c r="F257" s="3">
        <v>1</v>
      </c>
      <c r="G257" s="3">
        <v>0</v>
      </c>
      <c r="H257" s="4">
        <f>F257/B257</f>
      </c>
    </row>
    <row r="258" spans="1:8" x14ac:dyDescent="0.25">
      <c r="A258" s="2" t="s">
        <v>237</v>
      </c>
      <c r="B258" s="3">
        <v>12</v>
      </c>
      <c r="C258" s="3"/>
      <c r="D258" s="3">
        <f>F258+G258</f>
      </c>
      <c r="E258" s="3">
        <f>B258-D258</f>
      </c>
      <c r="F258" s="3">
        <v>6</v>
      </c>
      <c r="G258" s="3">
        <v>0</v>
      </c>
      <c r="H258" s="4">
        <f>F258/B258</f>
      </c>
    </row>
    <row r="259" spans="1:8" x14ac:dyDescent="0.25">
      <c r="A259" s="5" t="s">
        <v>12</v>
      </c>
      <c r="B259" s="6">
        <f>SUM(B254:B258)</f>
      </c>
      <c r="C259" s="5"/>
      <c r="D259" s="6">
        <f>SUM(D254:D258)</f>
      </c>
      <c r="E259" s="6">
        <f>SUM(E254:E258)</f>
      </c>
      <c r="F259" s="6">
        <f>SUM(F254:F258)</f>
      </c>
      <c r="G259" s="6">
        <f>SUM(G254:G258)</f>
      </c>
      <c r="H259" s="7">
        <f>F259/B259</f>
      </c>
    </row>
    <row r="260" spans="1:8" x14ac:dyDescent="0.25">
      <c r="A260" s="2" t="s">
        <v>238</v>
      </c>
      <c r="B260" s="3">
        <v>7</v>
      </c>
      <c r="C260" s="3"/>
      <c r="D260" s="3">
        <f>F260+G260</f>
      </c>
      <c r="E260" s="3">
        <f>B260-D260</f>
      </c>
      <c r="F260" s="3">
        <v>0</v>
      </c>
      <c r="G260" s="3">
        <v>0</v>
      </c>
      <c r="H260" s="4">
        <f>F260/B260</f>
      </c>
    </row>
    <row r="261" spans="1:8" x14ac:dyDescent="0.25">
      <c r="A261" s="5" t="s">
        <v>12</v>
      </c>
      <c r="B261" s="6">
        <f>SUM(B260:B260)</f>
      </c>
      <c r="C261" s="5"/>
      <c r="D261" s="6">
        <f>SUM(D260:D260)</f>
      </c>
      <c r="E261" s="6">
        <f>SUM(E260:E260)</f>
      </c>
      <c r="F261" s="6">
        <f>SUM(F260:F260)</f>
      </c>
      <c r="G261" s="6">
        <f>SUM(G260:G260)</f>
      </c>
      <c r="H261" s="7">
        <f>F261/B261</f>
      </c>
    </row>
    <row r="262" spans="1:8" x14ac:dyDescent="0.25">
      <c r="A262" s="2" t="s">
        <v>239</v>
      </c>
      <c r="B262" s="3">
        <v>14</v>
      </c>
      <c r="C262" s="3"/>
      <c r="D262" s="3">
        <f>F262+G262</f>
      </c>
      <c r="E262" s="3">
        <f>B262-D262</f>
      </c>
      <c r="F262" s="3">
        <v>10</v>
      </c>
      <c r="G262" s="3">
        <v>0</v>
      </c>
      <c r="H262" s="4">
        <f>F262/B262</f>
      </c>
    </row>
    <row r="263" spans="1:8" x14ac:dyDescent="0.25">
      <c r="A263" s="2" t="s">
        <v>240</v>
      </c>
      <c r="B263" s="3">
        <v>10</v>
      </c>
      <c r="C263" s="3"/>
      <c r="D263" s="3">
        <f>F263+G263</f>
      </c>
      <c r="E263" s="3">
        <f>B263-D263</f>
      </c>
      <c r="F263" s="3">
        <v>4</v>
      </c>
      <c r="G263" s="3">
        <v>0</v>
      </c>
      <c r="H263" s="4">
        <f>F263/B263</f>
      </c>
    </row>
    <row r="264" spans="1:8" x14ac:dyDescent="0.25">
      <c r="A264" s="2" t="s">
        <v>241</v>
      </c>
      <c r="B264" s="3">
        <v>12</v>
      </c>
      <c r="C264" s="3"/>
      <c r="D264" s="3">
        <f>F264+G264</f>
      </c>
      <c r="E264" s="3">
        <f>B264-D264</f>
      </c>
      <c r="F264" s="3">
        <v>5</v>
      </c>
      <c r="G264" s="3">
        <v>0</v>
      </c>
      <c r="H264" s="4">
        <f>F264/B264</f>
      </c>
    </row>
    <row r="265" spans="1:8" x14ac:dyDescent="0.25">
      <c r="A265" s="2" t="s">
        <v>242</v>
      </c>
      <c r="B265" s="3">
        <v>10</v>
      </c>
      <c r="C265" s="3"/>
      <c r="D265" s="3">
        <f>F265+G265</f>
      </c>
      <c r="E265" s="3">
        <f>B265-D265</f>
      </c>
      <c r="F265" s="3">
        <v>7</v>
      </c>
      <c r="G265" s="3">
        <v>0</v>
      </c>
      <c r="H265" s="4">
        <f>F265/B265</f>
      </c>
    </row>
    <row r="266" spans="1:8" x14ac:dyDescent="0.25">
      <c r="A266" s="2" t="s">
        <v>243</v>
      </c>
      <c r="B266" s="3">
        <v>12</v>
      </c>
      <c r="C266" s="3"/>
      <c r="D266" s="3">
        <f>F266+G266</f>
      </c>
      <c r="E266" s="3">
        <f>B266-D266</f>
      </c>
      <c r="F266" s="3">
        <v>9</v>
      </c>
      <c r="G266" s="3">
        <v>0</v>
      </c>
      <c r="H266" s="4">
        <f>F266/B266</f>
      </c>
    </row>
    <row r="267" spans="1:8" x14ac:dyDescent="0.25">
      <c r="A267" s="2" t="s">
        <v>244</v>
      </c>
      <c r="B267" s="3" t="s">
        <v>245</v>
      </c>
      <c r="C267" s="3">
        <v>21</v>
      </c>
      <c r="D267" s="3">
        <f>F267+G267</f>
      </c>
      <c r="E267" s="3">
        <f>C267-D267</f>
      </c>
      <c r="F267" s="3">
        <v>13</v>
      </c>
      <c r="G267" s="3">
        <v>0</v>
      </c>
      <c r="H267" s="4">
        <f>F267/C267</f>
      </c>
    </row>
    <row r="268" spans="1:8" x14ac:dyDescent="0.25">
      <c r="A268" s="2" t="s">
        <v>246</v>
      </c>
      <c r="B268" s="3">
        <v>12</v>
      </c>
      <c r="C268" s="3"/>
      <c r="D268" s="3">
        <f>F268+G268</f>
      </c>
      <c r="E268" s="3">
        <f>B268-D268</f>
      </c>
      <c r="F268" s="3">
        <v>10</v>
      </c>
      <c r="G268" s="3">
        <v>0</v>
      </c>
      <c r="H268" s="4">
        <f>F268/B268</f>
      </c>
    </row>
    <row r="269" spans="1:8" x14ac:dyDescent="0.25">
      <c r="A269" s="2" t="s">
        <v>247</v>
      </c>
      <c r="B269" s="3">
        <v>15</v>
      </c>
      <c r="C269" s="3"/>
      <c r="D269" s="3">
        <f>F269+G269</f>
      </c>
      <c r="E269" s="3">
        <f>B269-D269</f>
      </c>
      <c r="F269" s="3">
        <v>9</v>
      </c>
      <c r="G269" s="3">
        <v>0</v>
      </c>
      <c r="H269" s="4">
        <f>F269/B269</f>
      </c>
    </row>
    <row r="270" spans="1:8" x14ac:dyDescent="0.25">
      <c r="A270" s="2" t="s">
        <v>248</v>
      </c>
      <c r="B270" s="3">
        <v>10</v>
      </c>
      <c r="C270" s="3"/>
      <c r="D270" s="3">
        <f>F270+G270</f>
      </c>
      <c r="E270" s="3">
        <f>B270-D270</f>
      </c>
      <c r="F270" s="3">
        <v>6</v>
      </c>
      <c r="G270" s="3">
        <v>0</v>
      </c>
      <c r="H270" s="4">
        <f>F270/B270</f>
      </c>
    </row>
    <row r="271" spans="1:8" x14ac:dyDescent="0.25">
      <c r="A271" s="5" t="s">
        <v>12</v>
      </c>
      <c r="B271" s="6">
        <f>SUM(B262:B270)</f>
      </c>
      <c r="C271" s="5"/>
      <c r="D271" s="6">
        <f>SUM(D262:D270)</f>
      </c>
      <c r="E271" s="6">
        <f>SUM(E262:E270)</f>
      </c>
      <c r="F271" s="6">
        <f>SUM(F262:F270)</f>
      </c>
      <c r="G271" s="6">
        <f>SUM(G262:G270)</f>
      </c>
      <c r="H271" s="7">
        <f>F271/B271</f>
      </c>
    </row>
    <row r="272" spans="1:8" x14ac:dyDescent="0.25">
      <c r="A272" s="2" t="s">
        <v>249</v>
      </c>
      <c r="B272" s="3">
        <v>28</v>
      </c>
      <c r="C272" s="3"/>
      <c r="D272" s="3">
        <f>F272+G272</f>
      </c>
      <c r="E272" s="3">
        <f>B272-D272</f>
      </c>
      <c r="F272" s="3">
        <v>13</v>
      </c>
      <c r="G272" s="3">
        <v>0</v>
      </c>
      <c r="H272" s="4">
        <f>F272/B272</f>
      </c>
    </row>
    <row r="273" spans="1:8" x14ac:dyDescent="0.25">
      <c r="A273" s="2" t="s">
        <v>250</v>
      </c>
      <c r="B273" s="3">
        <v>9</v>
      </c>
      <c r="C273" s="3"/>
      <c r="D273" s="3">
        <f>F273+G273</f>
      </c>
      <c r="E273" s="3">
        <f>B273-D273</f>
      </c>
      <c r="F273" s="3">
        <v>1</v>
      </c>
      <c r="G273" s="3">
        <v>0</v>
      </c>
      <c r="H273" s="4">
        <f>F273/B273</f>
      </c>
    </row>
    <row r="274" spans="1:8" x14ac:dyDescent="0.25">
      <c r="A274" s="2" t="s">
        <v>251</v>
      </c>
      <c r="B274" s="3">
        <v>4</v>
      </c>
      <c r="C274" s="3"/>
      <c r="D274" s="3">
        <f>F274+G274</f>
      </c>
      <c r="E274" s="3">
        <f>B274-D274</f>
      </c>
      <c r="F274" s="3">
        <v>2</v>
      </c>
      <c r="G274" s="3">
        <v>0</v>
      </c>
      <c r="H274" s="4">
        <f>F274/B274</f>
      </c>
    </row>
    <row r="275" spans="1:8" x14ac:dyDescent="0.25">
      <c r="A275" s="2" t="s">
        <v>252</v>
      </c>
      <c r="B275" s="3" t="s">
        <v>253</v>
      </c>
      <c r="C275" s="3">
        <v>18</v>
      </c>
      <c r="D275" s="3">
        <f>F275+G275</f>
      </c>
      <c r="E275" s="3">
        <f>C275-D275</f>
      </c>
      <c r="F275" s="3">
        <v>4</v>
      </c>
      <c r="G275" s="3">
        <v>0</v>
      </c>
      <c r="H275" s="4">
        <f>F275/C275</f>
      </c>
    </row>
    <row r="276" spans="1:8" x14ac:dyDescent="0.25">
      <c r="A276" s="2" t="s">
        <v>254</v>
      </c>
      <c r="B276" s="3">
        <v>15</v>
      </c>
      <c r="C276" s="3"/>
      <c r="D276" s="3">
        <f>F276+G276</f>
      </c>
      <c r="E276" s="3">
        <f>B276-D276</f>
      </c>
      <c r="F276" s="3">
        <v>4</v>
      </c>
      <c r="G276" s="3">
        <v>0</v>
      </c>
      <c r="H276" s="4">
        <f>F276/B276</f>
      </c>
    </row>
    <row r="277" spans="1:8" x14ac:dyDescent="0.25">
      <c r="A277" s="2" t="s">
        <v>255</v>
      </c>
      <c r="B277" s="3" t="s">
        <v>256</v>
      </c>
      <c r="C277" s="3">
        <v>17</v>
      </c>
      <c r="D277" s="3">
        <f>F277+G277</f>
      </c>
      <c r="E277" s="3">
        <f>C277-D277</f>
      </c>
      <c r="F277" s="3">
        <v>1</v>
      </c>
      <c r="G277" s="3">
        <v>0</v>
      </c>
      <c r="H277" s="4">
        <f>F277/C277</f>
      </c>
    </row>
    <row r="278" spans="1:8" x14ac:dyDescent="0.25">
      <c r="A278" s="5" t="s">
        <v>12</v>
      </c>
      <c r="B278" s="6">
        <f>SUM(B272:B277)</f>
      </c>
      <c r="C278" s="5"/>
      <c r="D278" s="6">
        <f>SUM(D272:D277)</f>
      </c>
      <c r="E278" s="6">
        <f>SUM(E272:E277)</f>
      </c>
      <c r="F278" s="6">
        <f>SUM(F272:F277)</f>
      </c>
      <c r="G278" s="6">
        <f>SUM(G272:G277)</f>
      </c>
      <c r="H278" s="7">
        <f>F278/B278</f>
      </c>
    </row>
    <row r="279" spans="1:8" x14ac:dyDescent="0.25">
      <c r="A279" s="2" t="s">
        <v>257</v>
      </c>
      <c r="B279" s="3" t="s">
        <v>219</v>
      </c>
      <c r="C279" s="3">
        <v>12</v>
      </c>
      <c r="D279" s="3">
        <f>F279+G279</f>
      </c>
      <c r="E279" s="3">
        <f>C279-D279</f>
      </c>
      <c r="F279" s="3">
        <v>2</v>
      </c>
      <c r="G279" s="3">
        <v>0</v>
      </c>
      <c r="H279" s="4">
        <f>F279/C279</f>
      </c>
    </row>
    <row r="280" spans="1:8" x14ac:dyDescent="0.25">
      <c r="A280" s="2" t="s">
        <v>258</v>
      </c>
      <c r="B280" s="3">
        <v>14</v>
      </c>
      <c r="C280" s="3"/>
      <c r="D280" s="3">
        <f>F280+G280</f>
      </c>
      <c r="E280" s="3">
        <f>B280-D280</f>
      </c>
      <c r="F280" s="3">
        <v>1</v>
      </c>
      <c r="G280" s="3">
        <v>0</v>
      </c>
      <c r="H280" s="4">
        <f>F280/B280</f>
      </c>
    </row>
    <row r="281" spans="1:8" x14ac:dyDescent="0.25">
      <c r="A281" s="2" t="s">
        <v>259</v>
      </c>
      <c r="B281" s="3">
        <v>14</v>
      </c>
      <c r="C281" s="3"/>
      <c r="D281" s="3">
        <f>F281+G281</f>
      </c>
      <c r="E281" s="3">
        <f>B281-D281</f>
      </c>
      <c r="F281" s="3">
        <v>2</v>
      </c>
      <c r="G281" s="3">
        <v>0</v>
      </c>
      <c r="H281" s="4">
        <f>F281/B281</f>
      </c>
    </row>
    <row r="282" spans="1:8" x14ac:dyDescent="0.25">
      <c r="A282" s="5" t="s">
        <v>12</v>
      </c>
      <c r="B282" s="6">
        <f>SUM(B279:B281)</f>
      </c>
      <c r="C282" s="5"/>
      <c r="D282" s="6">
        <f>SUM(D279:D281)</f>
      </c>
      <c r="E282" s="6">
        <f>SUM(E279:E281)</f>
      </c>
      <c r="F282" s="6">
        <f>SUM(F279:F281)</f>
      </c>
      <c r="G282" s="6">
        <f>SUM(G279:G281)</f>
      </c>
      <c r="H282" s="7">
        <f>F282/B282</f>
      </c>
    </row>
    <row r="283" spans="1:8" x14ac:dyDescent="0.25">
      <c r="A283" s="2" t="s">
        <v>260</v>
      </c>
      <c r="B283" s="3" t="s">
        <v>225</v>
      </c>
      <c r="C283" s="3">
        <v>13</v>
      </c>
      <c r="D283" s="3">
        <f>F283+G283</f>
      </c>
      <c r="E283" s="3">
        <f>C283-D283</f>
      </c>
      <c r="F283" s="3">
        <v>2</v>
      </c>
      <c r="G283" s="3">
        <v>0</v>
      </c>
      <c r="H283" s="4">
        <f>F283/C283</f>
      </c>
    </row>
    <row r="284" spans="1:8" x14ac:dyDescent="0.25">
      <c r="A284" s="2" t="s">
        <v>261</v>
      </c>
      <c r="B284" s="3">
        <v>8</v>
      </c>
      <c r="C284" s="3"/>
      <c r="D284" s="3">
        <f>F284+G284</f>
      </c>
      <c r="E284" s="3">
        <f>B284-D284</f>
      </c>
      <c r="F284" s="3">
        <v>4</v>
      </c>
      <c r="G284" s="3">
        <v>0</v>
      </c>
      <c r="H284" s="4">
        <f>F284/B284</f>
      </c>
    </row>
    <row r="285" spans="1:8" x14ac:dyDescent="0.25">
      <c r="A285" s="2" t="s">
        <v>262</v>
      </c>
      <c r="B285" s="3">
        <v>14</v>
      </c>
      <c r="C285" s="3"/>
      <c r="D285" s="3">
        <f>F285+G285</f>
      </c>
      <c r="E285" s="3">
        <f>B285-D285</f>
      </c>
      <c r="F285" s="3">
        <v>5</v>
      </c>
      <c r="G285" s="3">
        <v>0</v>
      </c>
      <c r="H285" s="4">
        <f>F285/B285</f>
      </c>
    </row>
    <row r="286" spans="1:8" x14ac:dyDescent="0.25">
      <c r="A286" s="2" t="s">
        <v>263</v>
      </c>
      <c r="B286" s="3">
        <v>12</v>
      </c>
      <c r="C286" s="3"/>
      <c r="D286" s="3">
        <f>F286+G286</f>
      </c>
      <c r="E286" s="3">
        <f>B286-D286</f>
      </c>
      <c r="F286" s="3">
        <v>2</v>
      </c>
      <c r="G286" s="3">
        <v>0</v>
      </c>
      <c r="H286" s="4">
        <f>F286/B286</f>
      </c>
    </row>
    <row r="287" spans="1:8" x14ac:dyDescent="0.25">
      <c r="A287" s="5" t="s">
        <v>12</v>
      </c>
      <c r="B287" s="6">
        <f>SUM(B283:B286)</f>
      </c>
      <c r="C287" s="5"/>
      <c r="D287" s="6">
        <f>SUM(D283:D286)</f>
      </c>
      <c r="E287" s="6">
        <f>SUM(E283:E286)</f>
      </c>
      <c r="F287" s="6">
        <f>SUM(F283:F286)</f>
      </c>
      <c r="G287" s="6">
        <f>SUM(G283:G286)</f>
      </c>
      <c r="H287" s="7">
        <f>F287/B287</f>
      </c>
    </row>
    <row r="288" spans="1:8" x14ac:dyDescent="0.25">
      <c r="A288" s="5" t="s">
        <v>264</v>
      </c>
      <c r="B288" s="6">
        <f>SUM(B259,B261,B271,B278,B282,B287)</f>
      </c>
      <c r="C288" s="5"/>
      <c r="D288" s="6">
        <f>SUM(D259,D261,D271,D278,D282,D287)</f>
      </c>
      <c r="E288" s="6">
        <f>SUM(E259,E261,E271,E278,E282,E287)</f>
      </c>
      <c r="F288" s="6">
        <f>SUM(F259,F261,F271,F278,F282,F287)</f>
      </c>
      <c r="G288" s="6">
        <f>SUM(G259,G261,G271,G278,G282,G287)</f>
      </c>
      <c r="H288" s="7">
        <f>F288/B288</f>
      </c>
    </row>
    <row r="289" spans="1:8" x14ac:dyDescent="0.25">
      <c r="A289" s="5" t="s">
        <v>12</v>
      </c>
      <c r="B289" s="6">
        <f>SUM(B49,B73,B102,B161,B189,B210,B231,B253,B288)</f>
      </c>
      <c r="C289" s="5"/>
      <c r="D289" s="6">
        <f>SUM(D49,D73,D102,D161,D189,D210,D231,D253,D288)</f>
      </c>
      <c r="E289" s="6">
        <f>SUM(E49,E73,E102,E161,E189,E210,E231,E253,E288)</f>
      </c>
      <c r="F289" s="6">
        <f>SUM(F49,F73,F102,F161,F189,F210,F231,F253,F288)</f>
      </c>
      <c r="G289" s="6">
        <f>SUM(G49,G73,G102,G161,G189,G210,G231,G253,G288)</f>
      </c>
      <c r="H289" s="7">
        <f>F289/B289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FormatPr defaultRowHeight="15" outlineLevelRow="0" outlineLevelCol="0" x14ac:dyDescent="55"/>
  <cols>
    <col min="1" max="1" width="4" customWidth="1"/>
    <col min="2" max="2" width="18" customWidth="1"/>
    <col min="3" max="3" width="14" customWidth="1"/>
    <col min="4" max="9" width="18" customWidth="1"/>
    <col min="10" max="10" width="4" customWidth="1"/>
    <col min="11" max="11" width="22" customWidth="1"/>
    <col min="12" max="12" width="16" customWidth="1"/>
  </cols>
  <sheetData>
    <row r="1" ht="45" customHeight="1" spans="1:12" x14ac:dyDescent="0.25">
      <c r="A1" s="1" t="s">
        <v>265</v>
      </c>
      <c r="B1" s="1" t="s">
        <v>266</v>
      </c>
      <c r="C1" s="1" t="s">
        <v>1</v>
      </c>
      <c r="D1" s="1" t="s">
        <v>267</v>
      </c>
      <c r="E1" s="1" t="s">
        <v>268</v>
      </c>
      <c r="F1" s="1" t="s">
        <v>269</v>
      </c>
      <c r="G1" s="1" t="s">
        <v>5</v>
      </c>
      <c r="H1" s="1" t="s">
        <v>6</v>
      </c>
      <c r="I1" s="1" t="s">
        <v>270</v>
      </c>
      <c r="J1" s="1" t="s">
        <v>2</v>
      </c>
      <c r="K1" s="1" t="s">
        <v>271</v>
      </c>
      <c r="L1" s="1" t="s">
        <v>7</v>
      </c>
    </row>
    <row r="2" spans="1:12" x14ac:dyDescent="0.25">
      <c r="A2" s="3">
        <v>1</v>
      </c>
      <c r="B2" s="3" t="s">
        <v>272</v>
      </c>
      <c r="C2" s="3">
        <f>Sheet4!B49</f>
      </c>
      <c r="D2" s="3">
        <v>0</v>
      </c>
      <c r="E2" s="3">
        <f>Sheet4!D49</f>
      </c>
      <c r="F2" s="3">
        <f>Sheet4!E49</f>
      </c>
      <c r="G2" s="3">
        <f>Sheet4!F49</f>
      </c>
      <c r="H2" s="3">
        <f>Sheet4!G49</f>
      </c>
      <c r="I2" s="3">
        <v>0</v>
      </c>
      <c r="J2" s="3"/>
      <c r="K2" s="3">
        <v>0</v>
      </c>
      <c r="L2" s="4">
        <f>Sheet4!H49</f>
      </c>
    </row>
    <row r="3" spans="1:12" x14ac:dyDescent="0.25">
      <c r="A3" s="3">
        <v>2</v>
      </c>
      <c r="B3" s="3" t="s">
        <v>273</v>
      </c>
      <c r="C3" s="3">
        <f>Sheet4!B73</f>
      </c>
      <c r="D3" s="3">
        <v>0</v>
      </c>
      <c r="E3" s="3">
        <f>Sheet4!D73</f>
      </c>
      <c r="F3" s="3">
        <f>Sheet4!E73</f>
      </c>
      <c r="G3" s="3">
        <f>Sheet4!F73</f>
      </c>
      <c r="H3" s="3">
        <f>Sheet4!G73</f>
      </c>
      <c r="I3" s="3">
        <v>0</v>
      </c>
      <c r="J3" s="3"/>
      <c r="K3" s="3">
        <v>0</v>
      </c>
      <c r="L3" s="4">
        <f>Sheet4!H73</f>
      </c>
    </row>
    <row r="4" spans="1:12" x14ac:dyDescent="0.25">
      <c r="A4" s="3">
        <v>3</v>
      </c>
      <c r="B4" s="3" t="s">
        <v>274</v>
      </c>
      <c r="C4" s="3">
        <f>Sheet4!B102</f>
      </c>
      <c r="D4" s="3">
        <v>0</v>
      </c>
      <c r="E4" s="3">
        <f>Sheet4!D102</f>
      </c>
      <c r="F4" s="3">
        <f>Sheet4!E102</f>
      </c>
      <c r="G4" s="3">
        <f>Sheet4!F102</f>
      </c>
      <c r="H4" s="3">
        <f>Sheet4!G102</f>
      </c>
      <c r="I4" s="3">
        <v>0</v>
      </c>
      <c r="J4" s="3"/>
      <c r="K4" s="3">
        <v>0</v>
      </c>
      <c r="L4" s="4">
        <f>Sheet4!H102</f>
      </c>
    </row>
    <row r="5" spans="1:12" x14ac:dyDescent="0.25">
      <c r="A5" s="3">
        <v>4</v>
      </c>
      <c r="B5" s="3" t="s">
        <v>275</v>
      </c>
      <c r="C5" s="3">
        <f>Sheet4!B161</f>
      </c>
      <c r="D5" s="3">
        <v>0</v>
      </c>
      <c r="E5" s="3">
        <f>Sheet4!D161</f>
      </c>
      <c r="F5" s="3">
        <f>Sheet4!E161</f>
      </c>
      <c r="G5" s="3">
        <f>Sheet4!F161</f>
      </c>
      <c r="H5" s="3">
        <f>Sheet4!G161</f>
      </c>
      <c r="I5" s="3">
        <v>0</v>
      </c>
      <c r="J5" s="3"/>
      <c r="K5" s="3">
        <v>0</v>
      </c>
      <c r="L5" s="4">
        <f>Sheet4!H161</f>
      </c>
    </row>
    <row r="6" spans="1:12" x14ac:dyDescent="0.25">
      <c r="A6" s="3">
        <v>5</v>
      </c>
      <c r="B6" s="3" t="s">
        <v>276</v>
      </c>
      <c r="C6" s="3">
        <f>Sheet4!B189</f>
      </c>
      <c r="D6" s="3">
        <v>0</v>
      </c>
      <c r="E6" s="3">
        <f>Sheet4!D189</f>
      </c>
      <c r="F6" s="3">
        <f>Sheet4!E189</f>
      </c>
      <c r="G6" s="3">
        <f>Sheet4!F189</f>
      </c>
      <c r="H6" s="3">
        <f>Sheet4!G189</f>
      </c>
      <c r="I6" s="3">
        <v>0</v>
      </c>
      <c r="J6" s="3"/>
      <c r="K6" s="3">
        <v>0</v>
      </c>
      <c r="L6" s="4">
        <f>Sheet4!H189</f>
      </c>
    </row>
    <row r="7" spans="1:12" x14ac:dyDescent="0.25">
      <c r="A7" s="3">
        <v>6</v>
      </c>
      <c r="B7" s="3" t="s">
        <v>277</v>
      </c>
      <c r="C7" s="3">
        <f>Sheet4!B210</f>
      </c>
      <c r="D7" s="3">
        <v>0</v>
      </c>
      <c r="E7" s="3">
        <f>Sheet4!D210</f>
      </c>
      <c r="F7" s="3">
        <f>Sheet4!E210</f>
      </c>
      <c r="G7" s="3">
        <f>Sheet4!F210</f>
      </c>
      <c r="H7" s="3">
        <f>Sheet4!G210</f>
      </c>
      <c r="I7" s="3">
        <v>0</v>
      </c>
      <c r="J7" s="3"/>
      <c r="K7" s="3">
        <v>0</v>
      </c>
      <c r="L7" s="4">
        <f>Sheet4!H210</f>
      </c>
    </row>
    <row r="8" spans="1:12" x14ac:dyDescent="0.25">
      <c r="A8" s="3">
        <v>7</v>
      </c>
      <c r="B8" s="3" t="s">
        <v>278</v>
      </c>
      <c r="C8" s="3">
        <f>Sheet4!B231</f>
      </c>
      <c r="D8" s="3">
        <v>0</v>
      </c>
      <c r="E8" s="3">
        <f>Sheet4!D231</f>
      </c>
      <c r="F8" s="3">
        <f>Sheet4!E231</f>
      </c>
      <c r="G8" s="3">
        <f>Sheet4!F231</f>
      </c>
      <c r="H8" s="3">
        <f>Sheet4!G231</f>
      </c>
      <c r="I8" s="3">
        <v>0</v>
      </c>
      <c r="J8" s="3"/>
      <c r="K8" s="3">
        <v>0</v>
      </c>
      <c r="L8" s="4">
        <f>Sheet4!H231</f>
      </c>
    </row>
    <row r="9" spans="1:12" x14ac:dyDescent="0.25">
      <c r="A9" s="3">
        <v>8</v>
      </c>
      <c r="B9" s="3" t="s">
        <v>279</v>
      </c>
      <c r="C9" s="3">
        <f>Sheet4!B253</f>
      </c>
      <c r="D9" s="3">
        <v>0</v>
      </c>
      <c r="E9" s="3">
        <f>Sheet4!D253</f>
      </c>
      <c r="F9" s="3">
        <f>Sheet4!E253</f>
      </c>
      <c r="G9" s="3">
        <f>Sheet4!F253</f>
      </c>
      <c r="H9" s="3">
        <f>Sheet4!G253</f>
      </c>
      <c r="I9" s="3">
        <v>0</v>
      </c>
      <c r="J9" s="3"/>
      <c r="K9" s="3">
        <v>0</v>
      </c>
      <c r="L9" s="4">
        <f>Sheet4!H253</f>
      </c>
    </row>
    <row r="10" spans="1:12" x14ac:dyDescent="0.25">
      <c r="A10" s="3">
        <v>9</v>
      </c>
      <c r="B10" s="3" t="s">
        <v>280</v>
      </c>
      <c r="C10" s="3">
        <f>Sheet4!B288</f>
      </c>
      <c r="D10" s="3">
        <v>0</v>
      </c>
      <c r="E10" s="3">
        <f>Sheet4!D288</f>
      </c>
      <c r="F10" s="3">
        <f>Sheet4!E288</f>
      </c>
      <c r="G10" s="3">
        <f>Sheet4!F288</f>
      </c>
      <c r="H10" s="3">
        <f>Sheet4!G288</f>
      </c>
      <c r="I10" s="3">
        <v>0</v>
      </c>
      <c r="J10" s="3"/>
      <c r="K10" s="3">
        <v>0</v>
      </c>
      <c r="L10" s="4">
        <f>Sheet4!H288</f>
      </c>
    </row>
    <row r="11" spans="1:12" x14ac:dyDescent="0.25">
      <c r="A11" s="6" t="s">
        <v>2</v>
      </c>
      <c r="B11" s="6" t="s">
        <v>12</v>
      </c>
      <c r="C11" s="6">
        <f>SUM(C2:C10)</f>
      </c>
      <c r="D11" s="6">
        <f>SUM(D2:D10)</f>
      </c>
      <c r="E11" s="6">
        <f>SUM(E2:E10)</f>
      </c>
      <c r="F11" s="6">
        <f>SUM(F2:F10)</f>
      </c>
      <c r="G11" s="6">
        <f>SUM(G2:G10)</f>
      </c>
      <c r="H11" s="6">
        <f>SUM(H2:H10)</f>
      </c>
      <c r="I11" s="6">
        <f>SUM(I2:I10)</f>
      </c>
      <c r="J11" s="6"/>
      <c r="K11" s="6">
        <f>SUM(K2:K10)</f>
      </c>
      <c r="L11" s="7">
        <f>Sheet4!H289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EFF Membership System</dc:creator>
  <dc:title/>
  <dc:subject/>
  <dc:description/>
  <cp:keywords/>
  <cp:category/>
  <cp:lastModifiedBy>Unknown</cp:lastModifiedBy>
  <dcterms:created xsi:type="dcterms:W3CDTF">2026-02-08T16:57:17Z</dcterms:created>
  <dcterms:modified xsi:type="dcterms:W3CDTF">2026-02-08T16:57:17Z</dcterms:modified>
</cp:coreProperties>
</file>